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ark2\Documents\MATLAB\joggngScripts\"/>
    </mc:Choice>
  </mc:AlternateContent>
  <xr:revisionPtr revIDLastSave="0" documentId="13_ncr:1_{BB1F9F15-EA65-46D8-AF71-1CAAB4C0EA2B}" xr6:coauthVersionLast="47" xr6:coauthVersionMax="47" xr10:uidLastSave="{00000000-0000-0000-0000-000000000000}"/>
  <bookViews>
    <workbookView xWindow="4785" yWindow="1905" windowWidth="26805" windowHeight="17700" xr2:uid="{CE6DF57D-AFF0-4B3A-9EC1-AA09175CCD15}"/>
  </bookViews>
  <sheets>
    <sheet name="Main" sheetId="1" r:id="rId1"/>
    <sheet name="JOGGNGRT" sheetId="3" r:id="rId2"/>
    <sheet name="JOGGNGError" sheetId="5" r:id="rId3"/>
    <sheet name="JOGGNGSpeed" sheetId="6" r:id="rId4"/>
    <sheet name="Sheet2" sheetId="2" r:id="rId5"/>
    <sheet name="Sheet1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5" i="1" l="1"/>
  <c r="AH45" i="1"/>
  <c r="AI45" i="1"/>
  <c r="AG45" i="1"/>
  <c r="AK44" i="1"/>
  <c r="AG44" i="1"/>
  <c r="AH44" i="1"/>
  <c r="AI44" i="1"/>
  <c r="AJ44" i="1"/>
  <c r="AD44" i="1"/>
  <c r="AF44" i="1"/>
  <c r="AE44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H8" i="2"/>
  <c r="E8" i="2"/>
  <c r="H9" i="2"/>
  <c r="G9" i="2"/>
  <c r="F9" i="2"/>
  <c r="E9" i="2"/>
  <c r="O19" i="3"/>
  <c r="P23" i="5"/>
  <c r="P22" i="5"/>
  <c r="P21" i="5"/>
  <c r="P20" i="5"/>
  <c r="D23" i="5"/>
  <c r="D22" i="5"/>
  <c r="D21" i="5"/>
  <c r="D20" i="5"/>
  <c r="O20" i="3"/>
  <c r="O18" i="3"/>
  <c r="O17" i="3"/>
  <c r="D20" i="3"/>
  <c r="D18" i="3"/>
  <c r="D17" i="3"/>
  <c r="D19" i="3"/>
  <c r="M9" i="2"/>
  <c r="L9" i="2"/>
  <c r="K9" i="2"/>
  <c r="J9" i="2"/>
  <c r="I9" i="2"/>
  <c r="D9" i="2"/>
  <c r="C9" i="2"/>
  <c r="M8" i="2"/>
  <c r="L8" i="2"/>
  <c r="K8" i="2"/>
  <c r="J8" i="2"/>
  <c r="I8" i="2"/>
  <c r="D8" i="2"/>
  <c r="C8" i="2"/>
  <c r="M7" i="2"/>
  <c r="L7" i="2"/>
  <c r="K7" i="2"/>
  <c r="J7" i="2"/>
  <c r="I7" i="2"/>
  <c r="H7" i="2"/>
  <c r="G7" i="2"/>
  <c r="F7" i="2"/>
  <c r="E7" i="2"/>
  <c r="D7" i="2"/>
  <c r="C7" i="2"/>
  <c r="M5" i="2"/>
  <c r="L5" i="2"/>
  <c r="K5" i="2"/>
  <c r="J5" i="2"/>
  <c r="I5" i="2"/>
  <c r="H5" i="2"/>
  <c r="G5" i="2"/>
  <c r="F5" i="2"/>
  <c r="E5" i="2"/>
  <c r="D5" i="2"/>
  <c r="C5" i="2"/>
  <c r="M4" i="2"/>
  <c r="L4" i="2"/>
  <c r="K4" i="2"/>
  <c r="J4" i="2"/>
  <c r="I4" i="2"/>
  <c r="H4" i="2"/>
  <c r="G4" i="2"/>
  <c r="F4" i="2"/>
  <c r="E4" i="2"/>
  <c r="D4" i="2"/>
  <c r="C4" i="2"/>
  <c r="M3" i="2"/>
  <c r="L3" i="2"/>
  <c r="K3" i="2"/>
  <c r="J3" i="2"/>
  <c r="I3" i="2"/>
  <c r="H3" i="2"/>
  <c r="G3" i="2"/>
  <c r="F3" i="2"/>
  <c r="E3" i="2"/>
  <c r="D3" i="2"/>
  <c r="C3" i="2"/>
  <c r="F8" i="2" l="1"/>
  <c r="E4" i="4" s="1"/>
  <c r="G8" i="2"/>
  <c r="F4" i="4" s="1"/>
  <c r="E3" i="4"/>
  <c r="F3" i="4"/>
  <c r="H3" i="4"/>
  <c r="G3" i="4"/>
  <c r="K3" i="4"/>
  <c r="B4" i="4"/>
  <c r="L3" i="4"/>
  <c r="B3" i="4"/>
  <c r="C3" i="4"/>
  <c r="D3" i="4"/>
  <c r="G4" i="4"/>
  <c r="I3" i="4"/>
  <c r="H4" i="4"/>
  <c r="D4" i="4"/>
  <c r="J3" i="4"/>
  <c r="L4" i="4"/>
  <c r="C4" i="4"/>
  <c r="I4" i="4"/>
  <c r="J4" i="4"/>
  <c r="K4" i="4"/>
  <c r="L35" i="1"/>
  <c r="L26" i="1"/>
  <c r="J38" i="1"/>
  <c r="K38" i="1" s="1"/>
  <c r="L38" i="1"/>
  <c r="J41" i="1"/>
  <c r="K41" i="1" s="1"/>
  <c r="L41" i="1"/>
  <c r="J35" i="1"/>
  <c r="K35" i="1" s="1"/>
  <c r="J32" i="1"/>
  <c r="K32" i="1" s="1"/>
  <c r="L32" i="1"/>
  <c r="L29" i="1"/>
  <c r="L23" i="1"/>
  <c r="J17" i="1"/>
  <c r="K17" i="1" s="1"/>
  <c r="J20" i="1"/>
  <c r="K20" i="1" s="1"/>
  <c r="J23" i="1"/>
  <c r="K23" i="1" s="1"/>
  <c r="J26" i="1"/>
  <c r="K26" i="1" s="1"/>
  <c r="J29" i="1"/>
  <c r="K29" i="1" s="1"/>
  <c r="J5" i="1"/>
  <c r="K5" i="1" s="1"/>
  <c r="J8" i="1"/>
  <c r="K8" i="1" s="1"/>
  <c r="J11" i="1"/>
  <c r="K11" i="1" s="1"/>
  <c r="J14" i="1"/>
  <c r="K14" i="1" s="1"/>
  <c r="J2" i="1"/>
  <c r="K2" i="1" s="1"/>
  <c r="L17" i="1"/>
  <c r="M5" i="1"/>
  <c r="M8" i="1"/>
  <c r="M11" i="1"/>
  <c r="M2" i="1"/>
</calcChain>
</file>

<file path=xl/sharedStrings.xml><?xml version="1.0" encoding="utf-8"?>
<sst xmlns="http://schemas.openxmlformats.org/spreadsheetml/2006/main" count="262" uniqueCount="87">
  <si>
    <t>ID</t>
  </si>
  <si>
    <t>InterGroup</t>
  </si>
  <si>
    <t>Assessment</t>
  </si>
  <si>
    <t>Date</t>
  </si>
  <si>
    <t>Age</t>
  </si>
  <si>
    <t>Sex</t>
  </si>
  <si>
    <t>Who recruited?</t>
  </si>
  <si>
    <t>Height (cm)</t>
  </si>
  <si>
    <t>Weight (kg)</t>
  </si>
  <si>
    <t>Weight (lbs)</t>
  </si>
  <si>
    <t>Steps</t>
  </si>
  <si>
    <t>6MWT</t>
  </si>
  <si>
    <t>Grip (KG*N)</t>
  </si>
  <si>
    <t>WHOQOL</t>
  </si>
  <si>
    <t>AIAS</t>
  </si>
  <si>
    <t>PES</t>
  </si>
  <si>
    <t>J001</t>
  </si>
  <si>
    <t>F</t>
  </si>
  <si>
    <t xml:space="preserve">COA </t>
  </si>
  <si>
    <t>J002</t>
  </si>
  <si>
    <t>J003</t>
  </si>
  <si>
    <t>M</t>
  </si>
  <si>
    <t>J004</t>
  </si>
  <si>
    <t>COA/perley</t>
  </si>
  <si>
    <t>J005</t>
  </si>
  <si>
    <t>Perley</t>
  </si>
  <si>
    <t>J006</t>
  </si>
  <si>
    <t>J007</t>
  </si>
  <si>
    <t>J008</t>
  </si>
  <si>
    <t>J009</t>
  </si>
  <si>
    <t>COA</t>
  </si>
  <si>
    <t>J010</t>
  </si>
  <si>
    <t>Height (ft)</t>
  </si>
  <si>
    <t>Height (inch)</t>
  </si>
  <si>
    <t xml:space="preserve">Perley </t>
  </si>
  <si>
    <t>J011</t>
  </si>
  <si>
    <t>the good companions</t>
  </si>
  <si>
    <t>J012</t>
  </si>
  <si>
    <t>J013</t>
  </si>
  <si>
    <t>J014</t>
  </si>
  <si>
    <t>AATapa</t>
  </si>
  <si>
    <t>AATava</t>
  </si>
  <si>
    <t>AATaps</t>
  </si>
  <si>
    <t>AATavs</t>
  </si>
  <si>
    <t>InterGroup2</t>
  </si>
  <si>
    <t>group analysis</t>
  </si>
  <si>
    <t>pos is slower on it</t>
  </si>
  <si>
    <t>group</t>
  </si>
  <si>
    <t>assessment</t>
  </si>
  <si>
    <t>steps</t>
  </si>
  <si>
    <t>VMCPM</t>
  </si>
  <si>
    <t>change</t>
  </si>
  <si>
    <t>more steps in group 0</t>
  </si>
  <si>
    <t>more counts in group 0</t>
  </si>
  <si>
    <t>faster to approach activity in grou 1</t>
  </si>
  <si>
    <t>faster to approach sedentary in group 0</t>
  </si>
  <si>
    <t>faster to avoid active in group 0</t>
  </si>
  <si>
    <t>faster to avoid sedentary group 0</t>
  </si>
  <si>
    <t>greater walking in group 1</t>
  </si>
  <si>
    <t>greater grip strength in group 1</t>
  </si>
  <si>
    <t>greater QOL in group 1</t>
  </si>
  <si>
    <t>greater want to be active in group 0</t>
  </si>
  <si>
    <t>greater perception of wanting physical activity in group 1</t>
  </si>
  <si>
    <t>participants</t>
  </si>
  <si>
    <t>sess1</t>
  </si>
  <si>
    <t>sess2</t>
  </si>
  <si>
    <t>sess3</t>
  </si>
  <si>
    <t>sess4</t>
  </si>
  <si>
    <t>sess5</t>
  </si>
  <si>
    <t>sess6</t>
  </si>
  <si>
    <t>sess7</t>
  </si>
  <si>
    <t>sess8</t>
  </si>
  <si>
    <t>sess9</t>
  </si>
  <si>
    <t>nan</t>
  </si>
  <si>
    <t>interGroup</t>
  </si>
  <si>
    <t>cwGroup</t>
  </si>
  <si>
    <t>Affect</t>
  </si>
  <si>
    <t>Instrum</t>
  </si>
  <si>
    <t>lightMins</t>
  </si>
  <si>
    <t>modMins</t>
  </si>
  <si>
    <t>vigMins</t>
  </si>
  <si>
    <t>totalMins</t>
  </si>
  <si>
    <t>inactiveMins</t>
  </si>
  <si>
    <t>inactivePrc</t>
  </si>
  <si>
    <t>lightPrc</t>
  </si>
  <si>
    <t>modPrc</t>
  </si>
  <si>
    <t>vigPrc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</si>
</sst>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top" wrapText="1"/>
    </xf>
    <xf numFmtId="164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177E-C326-4563-B36C-CBB98297965D}">
  <dimension ref="A1:AK60"/>
  <sheetViews>
    <sheetView tabSelected="1" topLeftCell="Q1" workbookViewId="0">
      <pane ySplit="1" topLeftCell="A8" activePane="bottomLeft" state="frozen"/>
      <selection pane="bottomLeft" activeCell="AK48" sqref="AK48"/>
    </sheetView>
  </sheetViews>
  <sheetFormatPr defaultRowHeight="15" x14ac:dyDescent="0.25"/>
  <cols>
    <col min="2" max="5" width="9.140625" customWidth="1"/>
    <col min="6" max="6" width="8.140625" customWidth="1"/>
    <col min="7" max="7" width="8.85546875" customWidth="1"/>
    <col min="8" max="8" width="14.42578125" customWidth="1"/>
    <col min="9" max="9" width="8.5703125" customWidth="1"/>
    <col min="10" max="10" width="5.42578125" customWidth="1"/>
    <col min="11" max="11" width="7" customWidth="1"/>
    <col min="12" max="12" width="6" customWidth="1"/>
    <col min="13" max="14" width="9.140625" customWidth="1"/>
    <col min="22" max="22" width="9.140625" customWidth="1"/>
    <col min="23" max="23" width="7.42578125" customWidth="1"/>
    <col min="24" max="24" width="9.140625" customWidth="1"/>
    <col min="26" max="27" width="10.140625" customWidth="1"/>
    <col min="28" max="29" width="12.42578125" customWidth="1"/>
    <col min="30" max="32" width="22.7109375" customWidth="1"/>
    <col min="38" max="38" width="13.85546875" customWidth="1"/>
    <col min="39" max="39" width="18.28515625" customWidth="1"/>
  </cols>
  <sheetData>
    <row r="1" spans="1:37" x14ac:dyDescent="0.25">
      <c r="A1" s="1" t="s">
        <v>0</v>
      </c>
      <c r="B1" t="s">
        <v>1</v>
      </c>
      <c r="C1" s="1" t="s">
        <v>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32</v>
      </c>
      <c r="K1" t="s">
        <v>33</v>
      </c>
      <c r="L1" t="s">
        <v>8</v>
      </c>
      <c r="M1" t="s">
        <v>9</v>
      </c>
      <c r="N1" t="s">
        <v>10</v>
      </c>
      <c r="O1" t="s">
        <v>83</v>
      </c>
      <c r="P1" t="s">
        <v>84</v>
      </c>
      <c r="Q1" t="s">
        <v>85</v>
      </c>
      <c r="R1" t="s">
        <v>86</v>
      </c>
      <c r="S1" t="s">
        <v>40</v>
      </c>
      <c r="T1" t="s">
        <v>42</v>
      </c>
      <c r="U1" t="s">
        <v>41</v>
      </c>
      <c r="V1" t="s">
        <v>43</v>
      </c>
      <c r="W1" t="s">
        <v>15</v>
      </c>
      <c r="X1" t="s">
        <v>13</v>
      </c>
      <c r="Y1" t="s">
        <v>76</v>
      </c>
      <c r="Z1" t="s">
        <v>77</v>
      </c>
      <c r="AA1" t="s">
        <v>11</v>
      </c>
      <c r="AB1" t="s">
        <v>12</v>
      </c>
      <c r="AG1" t="s">
        <v>82</v>
      </c>
      <c r="AH1" t="s">
        <v>78</v>
      </c>
      <c r="AI1" t="s">
        <v>79</v>
      </c>
      <c r="AJ1" t="s">
        <v>80</v>
      </c>
      <c r="AK1" t="s">
        <v>81</v>
      </c>
    </row>
    <row r="2" spans="1:37" x14ac:dyDescent="0.25">
      <c r="A2" s="1" t="s">
        <v>16</v>
      </c>
      <c r="B2">
        <v>1</v>
      </c>
      <c r="C2">
        <v>1</v>
      </c>
      <c r="D2">
        <v>1</v>
      </c>
      <c r="E2">
        <v>250403</v>
      </c>
      <c r="F2">
        <v>75</v>
      </c>
      <c r="G2" t="s">
        <v>17</v>
      </c>
      <c r="H2" t="s">
        <v>18</v>
      </c>
      <c r="I2">
        <v>165</v>
      </c>
      <c r="J2" s="2">
        <f>INT(ROUND(I2 / 2.54 *8, 0) / 96)</f>
        <v>5</v>
      </c>
      <c r="K2" s="4">
        <f>ROUND((I2 / 2.54 - J2 * 12) * 8,0) / 8</f>
        <v>5</v>
      </c>
      <c r="L2" s="2">
        <v>65</v>
      </c>
      <c r="M2">
        <f>L2*2.2</f>
        <v>143</v>
      </c>
      <c r="N2">
        <v>3665.5</v>
      </c>
      <c r="O2">
        <f t="shared" ref="O2:O43" si="0">AG2*100/AK2</f>
        <v>74.418525405742216</v>
      </c>
      <c r="P2">
        <f t="shared" ref="P2:P43" si="1">AH2*100/AK2</f>
        <v>21.306293588283211</v>
      </c>
      <c r="Q2">
        <f t="shared" ref="Q2:Q43" si="2">AI2*100/AK2</f>
        <v>4.2346148978220874</v>
      </c>
      <c r="R2">
        <f t="shared" ref="R2:R43" si="3">AJ2*100/AK2</f>
        <v>4.0566108152489622E-2</v>
      </c>
      <c r="S2">
        <v>-622.56547619047615</v>
      </c>
      <c r="T2">
        <v>-301.35714285714278</v>
      </c>
      <c r="U2">
        <v>-298.24547101449264</v>
      </c>
      <c r="V2">
        <v>-119.49547101449275</v>
      </c>
      <c r="W2">
        <v>2.5</v>
      </c>
      <c r="X2">
        <v>119</v>
      </c>
      <c r="Y2">
        <v>14</v>
      </c>
      <c r="Z2">
        <v>14</v>
      </c>
      <c r="AA2">
        <v>435</v>
      </c>
      <c r="AB2">
        <v>27</v>
      </c>
      <c r="AD2">
        <f>O2/(AK2/60)*16*7</f>
        <v>811.47224260250687</v>
      </c>
      <c r="AE2">
        <f>P2/(AK2/60)*16*7</f>
        <v>232.32744461633089</v>
      </c>
      <c r="AF2">
        <f>Q2/(AK2/60)*16*7</f>
        <v>46.17496018576751</v>
      </c>
      <c r="AG2">
        <v>458.625</v>
      </c>
      <c r="AH2">
        <v>131.30600000000001</v>
      </c>
      <c r="AI2">
        <v>26.097000000000001</v>
      </c>
      <c r="AJ2">
        <v>0.25</v>
      </c>
      <c r="AK2">
        <v>616.27800000000002</v>
      </c>
    </row>
    <row r="3" spans="1:37" x14ac:dyDescent="0.25">
      <c r="A3" s="1" t="s">
        <v>16</v>
      </c>
      <c r="B3">
        <v>1</v>
      </c>
      <c r="C3">
        <v>1</v>
      </c>
      <c r="D3">
        <v>2</v>
      </c>
      <c r="E3">
        <v>250505</v>
      </c>
      <c r="J3" s="2"/>
      <c r="K3" s="4"/>
      <c r="L3" s="2"/>
      <c r="N3">
        <v>3926</v>
      </c>
      <c r="O3">
        <f t="shared" si="0"/>
        <v>77.837261829291208</v>
      </c>
      <c r="P3">
        <f t="shared" si="1"/>
        <v>17.483744978544326</v>
      </c>
      <c r="Q3">
        <f t="shared" si="2"/>
        <v>4.6302520205286344</v>
      </c>
      <c r="R3">
        <f t="shared" si="3"/>
        <v>4.8741171635823796E-2</v>
      </c>
      <c r="S3">
        <v>-170.1401515151515</v>
      </c>
      <c r="T3">
        <v>-4.7651515151515014</v>
      </c>
      <c r="U3">
        <v>-28.009057971014386</v>
      </c>
      <c r="V3">
        <v>1.8478260869566157</v>
      </c>
      <c r="W3">
        <v>2.75</v>
      </c>
      <c r="X3">
        <v>120</v>
      </c>
      <c r="Y3">
        <v>12</v>
      </c>
      <c r="Z3">
        <v>12</v>
      </c>
      <c r="AA3">
        <v>495</v>
      </c>
      <c r="AB3">
        <v>20</v>
      </c>
      <c r="AD3">
        <f t="shared" ref="AD3:AD43" si="4">O3/(AK3/60)*16*7</f>
        <v>833.16565864747531</v>
      </c>
      <c r="AE3">
        <f t="shared" ref="AE3:AE43" si="5">P3/(AK3/60)*16*7</f>
        <v>187.14501972873447</v>
      </c>
      <c r="AF3">
        <f t="shared" ref="AF3:AF43" si="6">Q3/(AK3/60)*16*7</f>
        <v>49.561956365425658</v>
      </c>
      <c r="AG3">
        <v>488.66699999999997</v>
      </c>
      <c r="AH3">
        <v>109.764</v>
      </c>
      <c r="AI3">
        <v>29.068999999999999</v>
      </c>
      <c r="AJ3">
        <v>0.30599999999999999</v>
      </c>
      <c r="AK3">
        <v>627.80600000000004</v>
      </c>
    </row>
    <row r="4" spans="1:37" x14ac:dyDescent="0.25">
      <c r="A4" s="1" t="s">
        <v>16</v>
      </c>
      <c r="B4">
        <v>1</v>
      </c>
      <c r="C4">
        <v>1</v>
      </c>
      <c r="D4">
        <v>3</v>
      </c>
      <c r="E4">
        <v>250603</v>
      </c>
      <c r="J4" s="2"/>
      <c r="K4" s="4"/>
      <c r="L4" s="2"/>
      <c r="N4">
        <v>3620</v>
      </c>
      <c r="O4">
        <f t="shared" si="0"/>
        <v>71.456393472849641</v>
      </c>
      <c r="P4">
        <f t="shared" si="1"/>
        <v>23.560085737992075</v>
      </c>
      <c r="Q4">
        <f t="shared" si="2"/>
        <v>4.93377585200209</v>
      </c>
      <c r="R4">
        <f t="shared" si="3"/>
        <v>4.993700255062844E-2</v>
      </c>
      <c r="S4">
        <v>-44.576086956521749</v>
      </c>
      <c r="T4">
        <v>75.833333333333371</v>
      </c>
      <c r="U4">
        <v>-98.458333333333258</v>
      </c>
      <c r="V4">
        <v>168.07971014492762</v>
      </c>
      <c r="W4">
        <v>1.5</v>
      </c>
      <c r="X4">
        <v>109</v>
      </c>
      <c r="Y4">
        <v>12</v>
      </c>
      <c r="Z4">
        <v>12</v>
      </c>
      <c r="AA4">
        <v>457.5</v>
      </c>
      <c r="AB4">
        <v>24</v>
      </c>
      <c r="AD4">
        <f t="shared" si="4"/>
        <v>922.27298665059004</v>
      </c>
      <c r="AE4">
        <f t="shared" si="5"/>
        <v>304.08518514970876</v>
      </c>
      <c r="AF4">
        <f t="shared" si="6"/>
        <v>63.679231057462211</v>
      </c>
      <c r="AG4">
        <v>372.04199999999997</v>
      </c>
      <c r="AH4">
        <v>122.667</v>
      </c>
      <c r="AI4">
        <v>25.687999999999999</v>
      </c>
      <c r="AJ4">
        <v>0.26</v>
      </c>
      <c r="AK4">
        <v>520.65599999999995</v>
      </c>
    </row>
    <row r="5" spans="1:37" x14ac:dyDescent="0.25">
      <c r="A5" t="s">
        <v>19</v>
      </c>
      <c r="B5">
        <v>0</v>
      </c>
      <c r="C5">
        <v>1</v>
      </c>
      <c r="D5">
        <v>1</v>
      </c>
      <c r="E5">
        <v>250414</v>
      </c>
      <c r="F5">
        <v>70</v>
      </c>
      <c r="G5" t="s">
        <v>17</v>
      </c>
      <c r="H5" t="s">
        <v>18</v>
      </c>
      <c r="I5">
        <v>171</v>
      </c>
      <c r="J5" s="2">
        <f t="shared" ref="J5:J32" si="7">INT(ROUND(I5 / 2.54 *8, 0) / 96)</f>
        <v>5</v>
      </c>
      <c r="K5" s="4">
        <f t="shared" ref="K5:K11" si="8">ROUND((I5 / 2.54 - J5 * 12) * 8,0) / 8</f>
        <v>7.375</v>
      </c>
      <c r="L5" s="2">
        <v>55.2</v>
      </c>
      <c r="M5">
        <f t="shared" ref="M5:M11" si="9">L5*2.2</f>
        <v>121.44000000000001</v>
      </c>
      <c r="N5">
        <v>8572.1428571428569</v>
      </c>
      <c r="O5">
        <f t="shared" si="0"/>
        <v>83.614041406006095</v>
      </c>
      <c r="P5">
        <f t="shared" si="1"/>
        <v>8.5770879511657334</v>
      </c>
      <c r="Q5">
        <f t="shared" si="2"/>
        <v>7.7979886438567885</v>
      </c>
      <c r="R5">
        <f t="shared" si="3"/>
        <v>1.0752451364589717E-2</v>
      </c>
      <c r="S5">
        <v>49.072463768115767</v>
      </c>
      <c r="T5">
        <v>54.03623188405777</v>
      </c>
      <c r="U5">
        <v>88.944746376811736</v>
      </c>
      <c r="V5">
        <v>833.5554183135705</v>
      </c>
      <c r="W5">
        <v>2</v>
      </c>
      <c r="X5">
        <v>129</v>
      </c>
      <c r="Y5">
        <v>14</v>
      </c>
      <c r="Z5">
        <v>14</v>
      </c>
      <c r="AA5">
        <v>532.5</v>
      </c>
      <c r="AB5">
        <v>30</v>
      </c>
      <c r="AD5">
        <f t="shared" si="4"/>
        <v>727.91033005926931</v>
      </c>
      <c r="AE5">
        <f t="shared" si="5"/>
        <v>74.668689809699387</v>
      </c>
      <c r="AF5">
        <f t="shared" si="6"/>
        <v>67.886163521100869</v>
      </c>
      <c r="AG5">
        <v>645.43100000000004</v>
      </c>
      <c r="AH5">
        <v>66.207999999999998</v>
      </c>
      <c r="AI5">
        <v>60.194000000000003</v>
      </c>
      <c r="AJ5">
        <v>8.3000000000000004E-2</v>
      </c>
      <c r="AK5">
        <v>771.91700000000003</v>
      </c>
    </row>
    <row r="6" spans="1:37" x14ac:dyDescent="0.25">
      <c r="A6" t="s">
        <v>19</v>
      </c>
      <c r="B6">
        <v>0</v>
      </c>
      <c r="C6">
        <v>1</v>
      </c>
      <c r="D6">
        <v>2</v>
      </c>
      <c r="E6">
        <v>250602</v>
      </c>
      <c r="J6" s="2"/>
      <c r="K6" s="4"/>
      <c r="L6" s="2"/>
      <c r="N6">
        <v>8715</v>
      </c>
      <c r="O6">
        <f t="shared" si="0"/>
        <v>60.62349335393624</v>
      </c>
      <c r="P6">
        <f t="shared" si="1"/>
        <v>31.42999997679852</v>
      </c>
      <c r="Q6">
        <f t="shared" si="2"/>
        <v>7.946506669265232</v>
      </c>
      <c r="R6">
        <f t="shared" si="3"/>
        <v>0</v>
      </c>
      <c r="S6">
        <v>151.8452380952383</v>
      </c>
      <c r="T6">
        <v>659.17857142857156</v>
      </c>
      <c r="U6">
        <v>48.446557971014499</v>
      </c>
      <c r="V6">
        <v>171.973731884058</v>
      </c>
      <c r="W6">
        <v>4</v>
      </c>
      <c r="X6">
        <v>127</v>
      </c>
      <c r="Y6">
        <v>14</v>
      </c>
      <c r="Z6">
        <v>14</v>
      </c>
      <c r="AA6">
        <v>540</v>
      </c>
      <c r="AB6">
        <v>29</v>
      </c>
      <c r="AD6">
        <f t="shared" si="4"/>
        <v>472.60238852089594</v>
      </c>
      <c r="AE6">
        <f t="shared" si="5"/>
        <v>245.01875821516364</v>
      </c>
      <c r="AF6">
        <f t="shared" si="6"/>
        <v>61.948558628354476</v>
      </c>
      <c r="AG6">
        <v>522.58299999999997</v>
      </c>
      <c r="AH6">
        <v>270.93099999999998</v>
      </c>
      <c r="AI6">
        <v>68.5</v>
      </c>
      <c r="AJ6">
        <v>0</v>
      </c>
      <c r="AK6">
        <v>862.01400000000001</v>
      </c>
    </row>
    <row r="7" spans="1:37" x14ac:dyDescent="0.25">
      <c r="A7" t="s">
        <v>19</v>
      </c>
      <c r="B7">
        <v>0</v>
      </c>
      <c r="C7">
        <v>1</v>
      </c>
      <c r="D7">
        <v>3</v>
      </c>
      <c r="E7">
        <v>250707</v>
      </c>
      <c r="J7" s="2"/>
      <c r="K7" s="4"/>
      <c r="L7" s="2"/>
      <c r="N7">
        <v>5360.5714285714284</v>
      </c>
      <c r="O7">
        <f t="shared" si="0"/>
        <v>78.500113752065261</v>
      </c>
      <c r="P7">
        <f t="shared" si="1"/>
        <v>17.306972690801995</v>
      </c>
      <c r="Q7">
        <f t="shared" si="2"/>
        <v>4.1587257779584546</v>
      </c>
      <c r="R7">
        <f t="shared" si="3"/>
        <v>3.4063459977299315E-2</v>
      </c>
      <c r="S7">
        <v>60.306159420289987</v>
      </c>
      <c r="T7">
        <v>112.15579710144925</v>
      </c>
      <c r="U7">
        <v>-54.602025691699737</v>
      </c>
      <c r="V7">
        <v>226.76539855072451</v>
      </c>
      <c r="W7">
        <v>4</v>
      </c>
      <c r="X7">
        <v>130</v>
      </c>
      <c r="Y7">
        <v>14</v>
      </c>
      <c r="Z7">
        <v>14</v>
      </c>
      <c r="AA7">
        <v>525</v>
      </c>
      <c r="AB7">
        <v>35</v>
      </c>
      <c r="AD7">
        <f t="shared" si="4"/>
        <v>655.80957831410558</v>
      </c>
      <c r="AE7">
        <f t="shared" si="5"/>
        <v>144.58677726374617</v>
      </c>
      <c r="AF7">
        <f t="shared" si="6"/>
        <v>34.743034989489828</v>
      </c>
      <c r="AG7">
        <v>631.44000000000005</v>
      </c>
      <c r="AH7">
        <v>139.214</v>
      </c>
      <c r="AI7">
        <v>33.451999999999998</v>
      </c>
      <c r="AJ7">
        <v>0.27400000000000002</v>
      </c>
      <c r="AK7">
        <v>804.38099999999997</v>
      </c>
    </row>
    <row r="8" spans="1:37" x14ac:dyDescent="0.25">
      <c r="A8" t="s">
        <v>20</v>
      </c>
      <c r="B8">
        <v>1</v>
      </c>
      <c r="C8">
        <v>11</v>
      </c>
      <c r="D8">
        <v>1</v>
      </c>
      <c r="E8">
        <v>250414</v>
      </c>
      <c r="F8">
        <v>68</v>
      </c>
      <c r="G8" t="s">
        <v>21</v>
      </c>
      <c r="H8" t="s">
        <v>18</v>
      </c>
      <c r="I8">
        <v>169</v>
      </c>
      <c r="J8" s="2">
        <f t="shared" si="7"/>
        <v>5</v>
      </c>
      <c r="K8" s="4">
        <f t="shared" si="8"/>
        <v>6.5</v>
      </c>
      <c r="L8" s="2">
        <v>54.8</v>
      </c>
      <c r="M8">
        <f t="shared" si="9"/>
        <v>120.56</v>
      </c>
      <c r="N8">
        <v>10237.857142857143</v>
      </c>
      <c r="O8">
        <f t="shared" si="0"/>
        <v>73.915571342229342</v>
      </c>
      <c r="P8">
        <f t="shared" si="1"/>
        <v>15.988739600558693</v>
      </c>
      <c r="Q8">
        <f t="shared" si="2"/>
        <v>9.9925228135314104</v>
      </c>
      <c r="R8">
        <f t="shared" si="3"/>
        <v>0.10330145500910649</v>
      </c>
      <c r="S8">
        <v>-87.643939393939377</v>
      </c>
      <c r="T8">
        <v>504.96439393939409</v>
      </c>
      <c r="U8">
        <v>365.14426877470351</v>
      </c>
      <c r="V8">
        <v>-32.431818181818244</v>
      </c>
      <c r="W8">
        <v>2.75</v>
      </c>
      <c r="X8">
        <v>118</v>
      </c>
      <c r="Y8">
        <v>14</v>
      </c>
      <c r="Z8">
        <v>14</v>
      </c>
      <c r="AA8">
        <v>510</v>
      </c>
      <c r="AB8">
        <v>48</v>
      </c>
      <c r="AD8">
        <f t="shared" si="4"/>
        <v>671.61175881514475</v>
      </c>
      <c r="AE8">
        <f t="shared" si="5"/>
        <v>145.2769061968088</v>
      </c>
      <c r="AF8">
        <f t="shared" si="6"/>
        <v>90.794073561630114</v>
      </c>
      <c r="AG8">
        <v>546.66700000000003</v>
      </c>
      <c r="AH8">
        <v>118.25</v>
      </c>
      <c r="AI8">
        <v>73.903000000000006</v>
      </c>
      <c r="AJ8">
        <v>0.76400000000000001</v>
      </c>
      <c r="AK8">
        <v>739.58299999999997</v>
      </c>
    </row>
    <row r="9" spans="1:37" x14ac:dyDescent="0.25">
      <c r="A9" t="s">
        <v>20</v>
      </c>
      <c r="B9">
        <v>1</v>
      </c>
      <c r="C9">
        <v>11</v>
      </c>
      <c r="D9">
        <v>2</v>
      </c>
      <c r="E9">
        <v>250602</v>
      </c>
      <c r="J9" s="2"/>
      <c r="K9" s="4"/>
      <c r="L9" s="2"/>
      <c r="N9">
        <v>8895.2857142857138</v>
      </c>
      <c r="O9">
        <f t="shared" si="0"/>
        <v>45.850110373735468</v>
      </c>
      <c r="P9">
        <f t="shared" si="1"/>
        <v>44.922924473660338</v>
      </c>
      <c r="Q9">
        <f t="shared" si="2"/>
        <v>9.1946322775137634</v>
      </c>
      <c r="R9">
        <f t="shared" si="3"/>
        <v>3.2332875090427378E-2</v>
      </c>
      <c r="S9">
        <v>-71.471218487394935</v>
      </c>
      <c r="T9">
        <v>456.0198529411764</v>
      </c>
      <c r="U9">
        <v>394.695652173913</v>
      </c>
      <c r="V9">
        <v>52.655797101449252</v>
      </c>
      <c r="W9">
        <v>2.75</v>
      </c>
      <c r="X9">
        <v>122</v>
      </c>
      <c r="Y9">
        <v>13</v>
      </c>
      <c r="Z9">
        <v>14</v>
      </c>
      <c r="AA9">
        <v>570</v>
      </c>
      <c r="AB9">
        <v>44</v>
      </c>
      <c r="AD9">
        <f t="shared" si="4"/>
        <v>358.35146732111934</v>
      </c>
      <c r="AE9">
        <f t="shared" si="5"/>
        <v>351.10484511971015</v>
      </c>
      <c r="AF9">
        <f t="shared" si="6"/>
        <v>71.862639833744453</v>
      </c>
      <c r="AG9">
        <v>394.22199999999998</v>
      </c>
      <c r="AH9">
        <v>386.25</v>
      </c>
      <c r="AI9">
        <v>79.055999999999997</v>
      </c>
      <c r="AJ9">
        <v>0.27800000000000002</v>
      </c>
      <c r="AK9">
        <v>859.80600000000004</v>
      </c>
    </row>
    <row r="10" spans="1:37" x14ac:dyDescent="0.25">
      <c r="A10" t="s">
        <v>20</v>
      </c>
      <c r="B10">
        <v>1</v>
      </c>
      <c r="C10">
        <v>11</v>
      </c>
      <c r="D10">
        <v>3</v>
      </c>
      <c r="E10">
        <v>250707</v>
      </c>
      <c r="J10" s="2"/>
      <c r="K10" s="4"/>
      <c r="L10" s="2"/>
      <c r="N10">
        <v>6312.5714285714284</v>
      </c>
      <c r="O10">
        <f t="shared" si="0"/>
        <v>75.580989785214427</v>
      </c>
      <c r="P10">
        <f t="shared" si="1"/>
        <v>19.350444404374418</v>
      </c>
      <c r="Q10">
        <f t="shared" si="2"/>
        <v>4.9849890955420051</v>
      </c>
      <c r="R10">
        <f t="shared" si="3"/>
        <v>8.3576714869153093E-2</v>
      </c>
      <c r="S10">
        <v>-5.1166007905138713</v>
      </c>
      <c r="T10">
        <v>333.78260869565224</v>
      </c>
      <c r="U10">
        <v>98.45701581027663</v>
      </c>
      <c r="V10">
        <v>-55.405303030303003</v>
      </c>
      <c r="W10">
        <v>3</v>
      </c>
      <c r="X10">
        <v>125</v>
      </c>
      <c r="Y10">
        <v>12</v>
      </c>
      <c r="Z10">
        <v>14</v>
      </c>
      <c r="AA10">
        <v>555</v>
      </c>
      <c r="AB10">
        <v>48</v>
      </c>
      <c r="AD10">
        <f t="shared" si="4"/>
        <v>668.48769758212029</v>
      </c>
      <c r="AE10">
        <f t="shared" si="5"/>
        <v>171.14798395510823</v>
      </c>
      <c r="AF10">
        <f t="shared" si="6"/>
        <v>44.09050334509849</v>
      </c>
      <c r="AG10">
        <v>574.25</v>
      </c>
      <c r="AH10">
        <v>147.02099999999999</v>
      </c>
      <c r="AI10">
        <v>37.875</v>
      </c>
      <c r="AJ10">
        <v>0.63500000000000001</v>
      </c>
      <c r="AK10">
        <v>759.78099999999995</v>
      </c>
    </row>
    <row r="11" spans="1:37" x14ac:dyDescent="0.25">
      <c r="A11" t="s">
        <v>22</v>
      </c>
      <c r="B11">
        <v>0</v>
      </c>
      <c r="C11">
        <v>11</v>
      </c>
      <c r="D11">
        <v>1</v>
      </c>
      <c r="E11">
        <v>250416</v>
      </c>
      <c r="F11">
        <v>65</v>
      </c>
      <c r="G11" t="s">
        <v>17</v>
      </c>
      <c r="H11" t="s">
        <v>23</v>
      </c>
      <c r="I11">
        <v>159</v>
      </c>
      <c r="J11" s="2">
        <f t="shared" si="7"/>
        <v>5</v>
      </c>
      <c r="K11" s="4">
        <f t="shared" si="8"/>
        <v>2.625</v>
      </c>
      <c r="L11" s="2">
        <v>51.7</v>
      </c>
      <c r="M11">
        <f t="shared" si="9"/>
        <v>113.74000000000001</v>
      </c>
      <c r="N11">
        <v>8501.1666666666661</v>
      </c>
      <c r="O11">
        <f t="shared" si="0"/>
        <v>30.179831157716308</v>
      </c>
      <c r="P11">
        <f t="shared" si="1"/>
        <v>63.821884685373369</v>
      </c>
      <c r="Q11">
        <f t="shared" si="2"/>
        <v>5.9563228610125547</v>
      </c>
      <c r="R11">
        <f t="shared" si="3"/>
        <v>4.1857431303957658E-2</v>
      </c>
      <c r="S11">
        <v>158.60054347826099</v>
      </c>
      <c r="T11">
        <v>-90.88134057971024</v>
      </c>
      <c r="U11">
        <v>-331.02083333333326</v>
      </c>
      <c r="V11">
        <v>893.75271739130449</v>
      </c>
      <c r="W11">
        <v>2</v>
      </c>
      <c r="X11">
        <v>107</v>
      </c>
      <c r="Y11">
        <v>10</v>
      </c>
      <c r="Z11">
        <v>12</v>
      </c>
      <c r="AA11">
        <v>412.5</v>
      </c>
      <c r="AB11">
        <v>36</v>
      </c>
      <c r="AD11">
        <f t="shared" si="4"/>
        <v>210.6461887716699</v>
      </c>
      <c r="AE11">
        <f t="shared" si="5"/>
        <v>445.45765345548057</v>
      </c>
      <c r="AF11">
        <f t="shared" si="6"/>
        <v>41.573350864988875</v>
      </c>
      <c r="AG11">
        <v>290.56900000000002</v>
      </c>
      <c r="AH11">
        <v>614.47199999999998</v>
      </c>
      <c r="AI11">
        <v>57.347000000000001</v>
      </c>
      <c r="AJ11">
        <v>0.40300000000000002</v>
      </c>
      <c r="AK11">
        <v>962.79200000000003</v>
      </c>
    </row>
    <row r="12" spans="1:37" x14ac:dyDescent="0.25">
      <c r="A12" t="s">
        <v>22</v>
      </c>
      <c r="B12">
        <v>0</v>
      </c>
      <c r="C12">
        <v>11</v>
      </c>
      <c r="D12">
        <v>2</v>
      </c>
      <c r="E12">
        <v>250514</v>
      </c>
      <c r="J12" s="2"/>
      <c r="K12" s="4"/>
      <c r="L12" s="2"/>
      <c r="N12">
        <v>10406.714285714286</v>
      </c>
      <c r="O12">
        <f t="shared" si="0"/>
        <v>74.812099182136834</v>
      </c>
      <c r="P12">
        <f t="shared" si="1"/>
        <v>19.138309749448265</v>
      </c>
      <c r="Q12">
        <f t="shared" si="2"/>
        <v>6.0395170712709332</v>
      </c>
      <c r="R12">
        <f t="shared" si="3"/>
        <v>1.0073997143969882E-2</v>
      </c>
      <c r="S12">
        <v>156.52536231884051</v>
      </c>
      <c r="T12">
        <v>-166.64130434782601</v>
      </c>
      <c r="U12">
        <v>-269.66666666666652</v>
      </c>
      <c r="V12">
        <v>-93.624999999999773</v>
      </c>
      <c r="W12">
        <v>2</v>
      </c>
      <c r="X12">
        <v>108</v>
      </c>
      <c r="Y12">
        <v>10</v>
      </c>
      <c r="Z12">
        <v>12</v>
      </c>
      <c r="AA12">
        <v>457.5</v>
      </c>
      <c r="AB12">
        <v>34</v>
      </c>
      <c r="AD12">
        <f t="shared" si="4"/>
        <v>522.12105050391756</v>
      </c>
      <c r="AE12">
        <f t="shared" si="5"/>
        <v>133.56815943532894</v>
      </c>
      <c r="AF12">
        <f t="shared" si="6"/>
        <v>42.150387868560998</v>
      </c>
      <c r="AG12">
        <v>720.34699999999998</v>
      </c>
      <c r="AH12">
        <v>184.27799999999999</v>
      </c>
      <c r="AI12">
        <v>58.152999999999999</v>
      </c>
      <c r="AJ12">
        <v>9.7000000000000003E-2</v>
      </c>
      <c r="AK12">
        <v>962.875</v>
      </c>
    </row>
    <row r="13" spans="1:37" x14ac:dyDescent="0.25">
      <c r="A13" t="s">
        <v>22</v>
      </c>
      <c r="B13">
        <v>0</v>
      </c>
      <c r="C13">
        <v>11</v>
      </c>
      <c r="D13">
        <v>3</v>
      </c>
      <c r="E13">
        <v>250617</v>
      </c>
      <c r="J13" s="2"/>
      <c r="K13" s="4"/>
      <c r="L13" s="2"/>
      <c r="N13">
        <v>7257.7142857142853</v>
      </c>
      <c r="O13">
        <f t="shared" si="0"/>
        <v>76.281448720636405</v>
      </c>
      <c r="P13">
        <f t="shared" si="1"/>
        <v>19.902551513799001</v>
      </c>
      <c r="Q13">
        <f t="shared" si="2"/>
        <v>3.7918799690725602</v>
      </c>
      <c r="R13">
        <f t="shared" si="3"/>
        <v>2.4119796492034828E-2</v>
      </c>
      <c r="S13">
        <v>194.34692028985523</v>
      </c>
      <c r="T13">
        <v>24.160326086956729</v>
      </c>
      <c r="U13">
        <v>-11.9375</v>
      </c>
      <c r="V13">
        <v>-20.770833333333258</v>
      </c>
      <c r="W13">
        <v>2</v>
      </c>
      <c r="X13">
        <v>106</v>
      </c>
      <c r="Y13">
        <v>10</v>
      </c>
      <c r="Z13">
        <v>12</v>
      </c>
      <c r="AA13">
        <v>495</v>
      </c>
      <c r="AB13">
        <v>38</v>
      </c>
      <c r="AD13">
        <f t="shared" si="4"/>
        <v>577.76079857115747</v>
      </c>
      <c r="AE13">
        <f t="shared" si="5"/>
        <v>150.74325735905052</v>
      </c>
      <c r="AF13">
        <f t="shared" si="6"/>
        <v>28.719952698337543</v>
      </c>
      <c r="AG13">
        <v>676.798</v>
      </c>
      <c r="AH13">
        <v>176.583</v>
      </c>
      <c r="AI13">
        <v>33.643000000000001</v>
      </c>
      <c r="AJ13">
        <v>0.214</v>
      </c>
      <c r="AK13">
        <v>887.23800000000006</v>
      </c>
    </row>
    <row r="14" spans="1:37" x14ac:dyDescent="0.25">
      <c r="A14" t="s">
        <v>24</v>
      </c>
      <c r="B14">
        <v>1</v>
      </c>
      <c r="C14">
        <v>1</v>
      </c>
      <c r="D14">
        <v>1</v>
      </c>
      <c r="E14">
        <v>250430</v>
      </c>
      <c r="F14">
        <v>70</v>
      </c>
      <c r="G14" t="s">
        <v>21</v>
      </c>
      <c r="H14" t="s">
        <v>25</v>
      </c>
      <c r="I14">
        <v>177</v>
      </c>
      <c r="J14" s="2">
        <f t="shared" si="7"/>
        <v>5</v>
      </c>
      <c r="K14" s="4">
        <f t="shared" ref="K14:K32" si="10">ROUND((I14 / 2.54 - J14 * 12) * 8,0) / 8</f>
        <v>9.625</v>
      </c>
      <c r="L14" s="2">
        <v>90.5</v>
      </c>
      <c r="M14">
        <v>199.6</v>
      </c>
      <c r="N14">
        <v>2794.6666666666665</v>
      </c>
      <c r="O14">
        <f t="shared" si="0"/>
        <v>80.58265751715534</v>
      </c>
      <c r="P14">
        <f t="shared" si="1"/>
        <v>17.518125736466349</v>
      </c>
      <c r="Q14">
        <f t="shared" si="2"/>
        <v>1.8899286060858111</v>
      </c>
      <c r="R14">
        <f t="shared" si="3"/>
        <v>9.2881402925071039E-3</v>
      </c>
      <c r="S14">
        <v>124.39583333333326</v>
      </c>
      <c r="T14">
        <v>-10.229166666666742</v>
      </c>
      <c r="U14">
        <v>-127.17391304347825</v>
      </c>
      <c r="V14">
        <v>326.49275362318849</v>
      </c>
      <c r="W14">
        <v>2.25</v>
      </c>
      <c r="X14">
        <v>112</v>
      </c>
      <c r="Y14">
        <v>12</v>
      </c>
      <c r="Z14">
        <v>14</v>
      </c>
      <c r="AA14">
        <v>322.5</v>
      </c>
      <c r="AB14">
        <v>26</v>
      </c>
      <c r="AD14">
        <f t="shared" si="4"/>
        <v>750.69724615690563</v>
      </c>
      <c r="AE14">
        <f t="shared" si="5"/>
        <v>163.19651341104023</v>
      </c>
      <c r="AF14">
        <f t="shared" si="6"/>
        <v>17.60632180341949</v>
      </c>
      <c r="AG14">
        <v>581.28300000000002</v>
      </c>
      <c r="AH14">
        <v>126.367</v>
      </c>
      <c r="AI14">
        <v>13.632999999999999</v>
      </c>
      <c r="AJ14">
        <v>6.7000000000000004E-2</v>
      </c>
      <c r="AK14">
        <v>721.35</v>
      </c>
    </row>
    <row r="15" spans="1:37" x14ac:dyDescent="0.25">
      <c r="A15" t="s">
        <v>24</v>
      </c>
      <c r="B15">
        <v>1</v>
      </c>
      <c r="C15">
        <v>1</v>
      </c>
      <c r="D15">
        <v>2</v>
      </c>
      <c r="E15">
        <v>250523</v>
      </c>
      <c r="J15" s="2"/>
      <c r="K15" s="4"/>
      <c r="L15" s="2"/>
      <c r="N15">
        <v>3704.2857142857142</v>
      </c>
      <c r="O15">
        <f t="shared" si="0"/>
        <v>80.660232372287453</v>
      </c>
      <c r="P15">
        <f t="shared" si="1"/>
        <v>17.745497018503716</v>
      </c>
      <c r="Q15">
        <f t="shared" si="2"/>
        <v>1.5839429519886887</v>
      </c>
      <c r="R15">
        <f t="shared" si="3"/>
        <v>1.0204708919899183E-2</v>
      </c>
      <c r="S15">
        <v>99.729166666666742</v>
      </c>
      <c r="T15">
        <v>-61.395833333333258</v>
      </c>
      <c r="U15">
        <v>78.826086956521522</v>
      </c>
      <c r="V15">
        <v>205.52173913043475</v>
      </c>
      <c r="W15">
        <v>2</v>
      </c>
      <c r="X15">
        <v>115</v>
      </c>
      <c r="Y15">
        <v>12</v>
      </c>
      <c r="Z15">
        <v>13</v>
      </c>
      <c r="AA15">
        <v>435</v>
      </c>
      <c r="AB15">
        <v>29</v>
      </c>
      <c r="AD15">
        <f t="shared" si="4"/>
        <v>666.42498499019075</v>
      </c>
      <c r="AE15">
        <f t="shared" si="5"/>
        <v>146.61552832648303</v>
      </c>
      <c r="AF15">
        <f t="shared" si="6"/>
        <v>13.086735891515323</v>
      </c>
      <c r="AG15">
        <v>656.05</v>
      </c>
      <c r="AH15">
        <v>144.333</v>
      </c>
      <c r="AI15">
        <v>12.882999999999999</v>
      </c>
      <c r="AJ15">
        <v>8.3000000000000004E-2</v>
      </c>
      <c r="AK15">
        <v>813.35</v>
      </c>
    </row>
    <row r="16" spans="1:37" x14ac:dyDescent="0.25">
      <c r="A16" t="s">
        <v>24</v>
      </c>
      <c r="B16">
        <v>1</v>
      </c>
      <c r="C16">
        <v>1</v>
      </c>
      <c r="D16">
        <v>3</v>
      </c>
      <c r="E16">
        <v>250715</v>
      </c>
      <c r="J16" s="2"/>
      <c r="K16" s="4"/>
      <c r="L16" s="2"/>
      <c r="N16">
        <v>6651.125</v>
      </c>
      <c r="O16">
        <f t="shared" si="0"/>
        <v>68.555518503489367</v>
      </c>
      <c r="P16">
        <f t="shared" si="1"/>
        <v>27.933150930029178</v>
      </c>
      <c r="Q16">
        <f t="shared" si="2"/>
        <v>3.4992774847093266</v>
      </c>
      <c r="R16">
        <f t="shared" si="3"/>
        <v>1.2187004902925819E-2</v>
      </c>
      <c r="S16">
        <v>105.16666666666674</v>
      </c>
      <c r="T16">
        <v>265.29166666666674</v>
      </c>
      <c r="U16">
        <v>33.169384057971001</v>
      </c>
      <c r="V16">
        <v>124.39764492753625</v>
      </c>
      <c r="W16">
        <v>1.25</v>
      </c>
      <c r="X16">
        <v>108</v>
      </c>
      <c r="Y16">
        <v>10</v>
      </c>
      <c r="Z16">
        <v>14</v>
      </c>
      <c r="AA16">
        <v>405</v>
      </c>
      <c r="AB16">
        <v>27</v>
      </c>
      <c r="AD16">
        <f t="shared" si="4"/>
        <v>616.97460193820052</v>
      </c>
      <c r="AE16">
        <f t="shared" si="5"/>
        <v>251.38814572684245</v>
      </c>
      <c r="AF16">
        <f t="shared" si="6"/>
        <v>31.492217991028053</v>
      </c>
      <c r="AG16">
        <v>511.90199999999999</v>
      </c>
      <c r="AH16">
        <v>208.57599999999999</v>
      </c>
      <c r="AI16">
        <v>26.129000000000001</v>
      </c>
      <c r="AJ16">
        <v>9.0999999999999998E-2</v>
      </c>
      <c r="AK16">
        <v>746.697</v>
      </c>
    </row>
    <row r="17" spans="1:37" x14ac:dyDescent="0.25">
      <c r="A17" t="s">
        <v>26</v>
      </c>
      <c r="B17">
        <v>0</v>
      </c>
      <c r="C17">
        <v>1</v>
      </c>
      <c r="D17">
        <v>1</v>
      </c>
      <c r="E17">
        <v>250515</v>
      </c>
      <c r="F17">
        <v>79</v>
      </c>
      <c r="G17" t="s">
        <v>21</v>
      </c>
      <c r="H17" t="s">
        <v>25</v>
      </c>
      <c r="I17">
        <v>177</v>
      </c>
      <c r="J17" s="2">
        <f t="shared" si="7"/>
        <v>5</v>
      </c>
      <c r="K17" s="4">
        <f t="shared" si="10"/>
        <v>9.625</v>
      </c>
      <c r="L17" s="2">
        <f>M17/2.2</f>
        <v>99.090909090909079</v>
      </c>
      <c r="M17">
        <v>218</v>
      </c>
      <c r="N17">
        <v>2131.3333333333335</v>
      </c>
      <c r="O17">
        <f t="shared" si="0"/>
        <v>86.784651749880766</v>
      </c>
      <c r="P17">
        <f t="shared" si="1"/>
        <v>12.631132356390141</v>
      </c>
      <c r="Q17">
        <f t="shared" si="2"/>
        <v>0.58421589372909988</v>
      </c>
      <c r="R17">
        <f t="shared" si="3"/>
        <v>0</v>
      </c>
      <c r="S17">
        <v>161.79464285714289</v>
      </c>
      <c r="T17">
        <v>607.90152691511389</v>
      </c>
      <c r="U17">
        <v>661.03837285902523</v>
      </c>
      <c r="V17">
        <v>207.61575381140597</v>
      </c>
      <c r="W17">
        <v>0.75</v>
      </c>
      <c r="X17">
        <v>100</v>
      </c>
      <c r="Y17">
        <v>8</v>
      </c>
      <c r="Z17">
        <v>12</v>
      </c>
      <c r="AA17">
        <v>337.5</v>
      </c>
      <c r="AB17">
        <v>32</v>
      </c>
      <c r="AD17">
        <f t="shared" si="4"/>
        <v>1536.8089209772211</v>
      </c>
      <c r="AE17">
        <f t="shared" si="5"/>
        <v>223.67592075255482</v>
      </c>
      <c r="AF17">
        <f t="shared" si="6"/>
        <v>10.345472144627168</v>
      </c>
      <c r="AG17">
        <v>329.33300000000003</v>
      </c>
      <c r="AH17">
        <v>47.933</v>
      </c>
      <c r="AI17">
        <v>2.2170000000000001</v>
      </c>
      <c r="AJ17">
        <v>0</v>
      </c>
      <c r="AK17">
        <v>379.483</v>
      </c>
    </row>
    <row r="18" spans="1:37" x14ac:dyDescent="0.25">
      <c r="A18" t="s">
        <v>26</v>
      </c>
      <c r="B18">
        <v>0</v>
      </c>
      <c r="C18">
        <v>1</v>
      </c>
      <c r="D18">
        <v>2</v>
      </c>
      <c r="E18">
        <v>250714</v>
      </c>
      <c r="J18" s="2"/>
      <c r="K18" s="4"/>
      <c r="L18" s="2"/>
      <c r="N18">
        <v>1378.75</v>
      </c>
      <c r="O18">
        <f t="shared" si="0"/>
        <v>92.347543944228903</v>
      </c>
      <c r="P18">
        <f t="shared" si="1"/>
        <v>7.4005372024151148</v>
      </c>
      <c r="Q18">
        <f t="shared" si="2"/>
        <v>0.25191885335598457</v>
      </c>
      <c r="R18">
        <f t="shared" si="3"/>
        <v>0</v>
      </c>
      <c r="S18">
        <v>26.070393374741116</v>
      </c>
      <c r="T18">
        <v>139.22981366459612</v>
      </c>
      <c r="U18">
        <v>45.734090909091037</v>
      </c>
      <c r="V18">
        <v>28.552272727272793</v>
      </c>
      <c r="W18">
        <v>0</v>
      </c>
      <c r="X18">
        <v>103</v>
      </c>
      <c r="Y18">
        <v>11</v>
      </c>
      <c r="Z18">
        <v>12</v>
      </c>
      <c r="AA18">
        <v>337.5</v>
      </c>
      <c r="AB18">
        <v>32</v>
      </c>
      <c r="AD18">
        <f t="shared" si="4"/>
        <v>949.78534142231354</v>
      </c>
      <c r="AE18">
        <f t="shared" si="5"/>
        <v>76.113792021900679</v>
      </c>
      <c r="AF18">
        <f t="shared" si="6"/>
        <v>2.590960451421775</v>
      </c>
      <c r="AG18">
        <v>603.38499999999999</v>
      </c>
      <c r="AH18">
        <v>48.353999999999999</v>
      </c>
      <c r="AI18">
        <v>1.6459999999999999</v>
      </c>
      <c r="AJ18">
        <v>0</v>
      </c>
      <c r="AK18">
        <v>653.38499999999999</v>
      </c>
    </row>
    <row r="19" spans="1:37" x14ac:dyDescent="0.25">
      <c r="A19" t="s">
        <v>26</v>
      </c>
      <c r="B19">
        <v>0</v>
      </c>
      <c r="C19">
        <v>1</v>
      </c>
      <c r="D19">
        <v>3</v>
      </c>
      <c r="E19">
        <v>250808</v>
      </c>
      <c r="J19" s="2"/>
      <c r="K19" s="4"/>
      <c r="L19" s="2"/>
      <c r="N19">
        <v>1604.5714285714287</v>
      </c>
      <c r="O19">
        <f t="shared" si="0"/>
        <v>88.06840997937266</v>
      </c>
      <c r="P19">
        <f t="shared" si="1"/>
        <v>11.538263528749559</v>
      </c>
      <c r="Q19">
        <f t="shared" si="2"/>
        <v>0.39092397403907869</v>
      </c>
      <c r="R19">
        <f t="shared" si="3"/>
        <v>2.4025178386949527E-3</v>
      </c>
      <c r="S19">
        <v>132.47875494071127</v>
      </c>
      <c r="T19">
        <v>-224.69696969696975</v>
      </c>
      <c r="U19">
        <v>130.018115942029</v>
      </c>
      <c r="V19">
        <v>58.19202898550725</v>
      </c>
      <c r="W19">
        <v>0.25</v>
      </c>
      <c r="X19">
        <v>100</v>
      </c>
      <c r="Y19">
        <v>10</v>
      </c>
      <c r="Z19">
        <v>13</v>
      </c>
      <c r="AA19">
        <v>367.5</v>
      </c>
      <c r="AB19">
        <v>32</v>
      </c>
      <c r="AD19">
        <f t="shared" si="4"/>
        <v>1015.6124448045283</v>
      </c>
      <c r="AE19">
        <f t="shared" si="5"/>
        <v>133.0602429858441</v>
      </c>
      <c r="AF19">
        <f t="shared" si="6"/>
        <v>4.5081687417715637</v>
      </c>
      <c r="AG19">
        <v>513.19399999999996</v>
      </c>
      <c r="AH19">
        <v>67.236000000000004</v>
      </c>
      <c r="AI19">
        <v>2.278</v>
      </c>
      <c r="AJ19">
        <v>1.4E-2</v>
      </c>
      <c r="AK19">
        <v>582.72199999999998</v>
      </c>
    </row>
    <row r="20" spans="1:37" x14ac:dyDescent="0.25">
      <c r="A20" s="3" t="s">
        <v>27</v>
      </c>
      <c r="B20" s="3">
        <v>0</v>
      </c>
      <c r="C20" s="3">
        <v>11</v>
      </c>
      <c r="D20" s="3">
        <v>1</v>
      </c>
      <c r="E20" s="3">
        <v>250611</v>
      </c>
      <c r="F20" s="3">
        <v>72</v>
      </c>
      <c r="G20" s="3" t="s">
        <v>17</v>
      </c>
      <c r="H20" s="3" t="s">
        <v>30</v>
      </c>
      <c r="I20" s="3">
        <v>162</v>
      </c>
      <c r="J20" s="2">
        <f t="shared" si="7"/>
        <v>5</v>
      </c>
      <c r="K20" s="4">
        <f t="shared" si="10"/>
        <v>3.75</v>
      </c>
      <c r="L20" s="3">
        <v>66.3</v>
      </c>
      <c r="M20" s="3">
        <v>146.19999999999999</v>
      </c>
      <c r="N20">
        <v>7039.7142857142853</v>
      </c>
      <c r="O20">
        <f t="shared" si="0"/>
        <v>82.040200616975767</v>
      </c>
      <c r="P20">
        <f t="shared" si="1"/>
        <v>12.057255989018524</v>
      </c>
      <c r="Q20">
        <f t="shared" si="2"/>
        <v>5.9025433940057228</v>
      </c>
      <c r="R20">
        <f t="shared" si="3"/>
        <v>0</v>
      </c>
      <c r="S20">
        <v>459.47101449275374</v>
      </c>
      <c r="T20">
        <v>367.63768115942048</v>
      </c>
      <c r="U20">
        <v>581.59057971014499</v>
      </c>
      <c r="V20">
        <v>165.41666666666674</v>
      </c>
      <c r="W20">
        <v>0</v>
      </c>
      <c r="X20">
        <v>109</v>
      </c>
      <c r="Y20">
        <v>10</v>
      </c>
      <c r="Z20">
        <v>14</v>
      </c>
      <c r="AA20">
        <v>435</v>
      </c>
      <c r="AB20">
        <v>23</v>
      </c>
      <c r="AD20">
        <f t="shared" si="4"/>
        <v>734.02027225496681</v>
      </c>
      <c r="AE20">
        <f t="shared" si="5"/>
        <v>107.8772389285931</v>
      </c>
      <c r="AF20">
        <f t="shared" si="6"/>
        <v>52.81053040438735</v>
      </c>
      <c r="AG20">
        <v>616.19000000000005</v>
      </c>
      <c r="AH20">
        <v>90.56</v>
      </c>
      <c r="AI20">
        <v>44.332999999999998</v>
      </c>
      <c r="AJ20">
        <v>0</v>
      </c>
      <c r="AK20">
        <v>751.08299999999997</v>
      </c>
    </row>
    <row r="21" spans="1:37" x14ac:dyDescent="0.25">
      <c r="A21" s="3" t="s">
        <v>27</v>
      </c>
      <c r="B21" s="3">
        <v>0</v>
      </c>
      <c r="C21" s="3">
        <v>11</v>
      </c>
      <c r="D21" s="3">
        <v>2</v>
      </c>
      <c r="E21" s="3">
        <v>250721</v>
      </c>
      <c r="F21" s="3"/>
      <c r="G21" s="3"/>
      <c r="H21" s="3"/>
      <c r="I21" s="3"/>
      <c r="J21" s="2"/>
      <c r="K21" s="4"/>
      <c r="L21" s="3"/>
      <c r="M21" s="3"/>
      <c r="N21">
        <v>8007.8571428571431</v>
      </c>
      <c r="O21">
        <f t="shared" si="0"/>
        <v>83.372376763051619</v>
      </c>
      <c r="P21">
        <f t="shared" si="1"/>
        <v>10.883673926284839</v>
      </c>
      <c r="Q21">
        <f t="shared" si="2"/>
        <v>5.7405723562511808</v>
      </c>
      <c r="R21">
        <f t="shared" si="3"/>
        <v>3.5020267980093479E-3</v>
      </c>
      <c r="S21">
        <v>272.90313852813858</v>
      </c>
      <c r="T21">
        <v>235.37499999999989</v>
      </c>
      <c r="U21">
        <v>62.742753623188491</v>
      </c>
      <c r="V21">
        <v>161.97644927536248</v>
      </c>
      <c r="W21">
        <v>0.75</v>
      </c>
      <c r="X21">
        <v>114</v>
      </c>
      <c r="Y21">
        <v>9</v>
      </c>
      <c r="Z21">
        <v>12</v>
      </c>
      <c r="AA21">
        <v>412.5</v>
      </c>
      <c r="AB21">
        <v>24</v>
      </c>
      <c r="AD21">
        <f t="shared" si="4"/>
        <v>700.73351433105267</v>
      </c>
      <c r="AE21">
        <f t="shared" si="5"/>
        <v>91.475802601548295</v>
      </c>
      <c r="AF21">
        <f t="shared" si="6"/>
        <v>48.24873174600792</v>
      </c>
      <c r="AG21">
        <v>666.59299999999996</v>
      </c>
      <c r="AH21">
        <v>87.019000000000005</v>
      </c>
      <c r="AI21">
        <v>45.898000000000003</v>
      </c>
      <c r="AJ21">
        <v>2.8000000000000001E-2</v>
      </c>
      <c r="AK21">
        <v>799.53700000000003</v>
      </c>
    </row>
    <row r="22" spans="1:37" x14ac:dyDescent="0.25">
      <c r="A22" s="3" t="s">
        <v>27</v>
      </c>
      <c r="B22" s="3">
        <v>0</v>
      </c>
      <c r="C22" s="3">
        <v>11</v>
      </c>
      <c r="D22" s="3">
        <v>3</v>
      </c>
      <c r="E22" s="3">
        <v>250808</v>
      </c>
      <c r="F22" s="3"/>
      <c r="G22" s="3"/>
      <c r="H22" s="3"/>
      <c r="I22" s="3"/>
      <c r="J22" s="2"/>
      <c r="K22" s="4"/>
      <c r="L22" s="3"/>
      <c r="M22" s="3"/>
      <c r="N22">
        <v>5277.4285714285716</v>
      </c>
      <c r="O22">
        <f t="shared" si="0"/>
        <v>86.200373740772818</v>
      </c>
      <c r="P22">
        <f t="shared" si="1"/>
        <v>8.8218573914039613</v>
      </c>
      <c r="Q22">
        <f t="shared" si="2"/>
        <v>4.9777688678232099</v>
      </c>
      <c r="R22">
        <f t="shared" si="3"/>
        <v>0</v>
      </c>
      <c r="S22">
        <v>24.125000000000227</v>
      </c>
      <c r="T22">
        <v>243.94101731601745</v>
      </c>
      <c r="U22">
        <v>357.08143939393949</v>
      </c>
      <c r="V22">
        <v>107.60416666666674</v>
      </c>
      <c r="W22">
        <v>0.5</v>
      </c>
      <c r="X22">
        <v>114</v>
      </c>
      <c r="Y22">
        <v>10</v>
      </c>
      <c r="Z22">
        <v>11</v>
      </c>
      <c r="AA22">
        <v>427.5</v>
      </c>
      <c r="AB22">
        <v>22</v>
      </c>
      <c r="AD22">
        <f t="shared" si="4"/>
        <v>829.48472680121336</v>
      </c>
      <c r="AE22">
        <f t="shared" si="5"/>
        <v>84.890536440061311</v>
      </c>
      <c r="AF22">
        <f t="shared" si="6"/>
        <v>47.899830014923815</v>
      </c>
      <c r="AG22">
        <v>601.976</v>
      </c>
      <c r="AH22">
        <v>61.606999999999999</v>
      </c>
      <c r="AI22">
        <v>34.762</v>
      </c>
      <c r="AJ22">
        <v>0</v>
      </c>
      <c r="AK22">
        <v>698.34500000000003</v>
      </c>
    </row>
    <row r="23" spans="1:37" x14ac:dyDescent="0.25">
      <c r="A23" s="3" t="s">
        <v>28</v>
      </c>
      <c r="B23" s="3">
        <v>1</v>
      </c>
      <c r="C23" s="3">
        <v>11</v>
      </c>
      <c r="D23" s="3">
        <v>1</v>
      </c>
      <c r="E23" s="3">
        <v>250623</v>
      </c>
      <c r="F23" s="3">
        <v>61</v>
      </c>
      <c r="G23" s="3" t="s">
        <v>17</v>
      </c>
      <c r="H23" s="3" t="s">
        <v>30</v>
      </c>
      <c r="I23" s="3">
        <v>143</v>
      </c>
      <c r="J23" s="2">
        <f t="shared" si="7"/>
        <v>4</v>
      </c>
      <c r="K23" s="4">
        <f t="shared" si="10"/>
        <v>8.25</v>
      </c>
      <c r="L23" s="5">
        <f>M23/2.2</f>
        <v>84.090909090909079</v>
      </c>
      <c r="M23" s="3">
        <v>185</v>
      </c>
      <c r="N23">
        <v>3490.625</v>
      </c>
      <c r="O23">
        <f t="shared" si="0"/>
        <v>82.087422312261779</v>
      </c>
      <c r="P23">
        <f t="shared" si="1"/>
        <v>15.940390756446796</v>
      </c>
      <c r="Q23">
        <f t="shared" si="2"/>
        <v>1.9606496583456374</v>
      </c>
      <c r="R23">
        <f t="shared" si="3"/>
        <v>1.1399924458331902E-2</v>
      </c>
      <c r="S23">
        <v>199.82608695652152</v>
      </c>
      <c r="T23">
        <v>88.826086956521522</v>
      </c>
      <c r="U23">
        <v>308.53894927536226</v>
      </c>
      <c r="V23">
        <v>389.23460144927526</v>
      </c>
      <c r="W23">
        <v>1.5</v>
      </c>
      <c r="X23">
        <v>109</v>
      </c>
      <c r="Y23">
        <v>9</v>
      </c>
      <c r="Z23">
        <v>14</v>
      </c>
      <c r="AA23">
        <v>382.5</v>
      </c>
      <c r="AB23">
        <v>23</v>
      </c>
      <c r="AD23">
        <f t="shared" si="4"/>
        <v>757.65199730577092</v>
      </c>
      <c r="AE23">
        <f t="shared" si="5"/>
        <v>147.12691121563364</v>
      </c>
      <c r="AF23">
        <f t="shared" si="6"/>
        <v>18.096440207509779</v>
      </c>
      <c r="AG23">
        <v>597.65800000000002</v>
      </c>
      <c r="AH23">
        <v>116.05800000000001</v>
      </c>
      <c r="AI23">
        <v>14.275</v>
      </c>
      <c r="AJ23">
        <v>8.3000000000000004E-2</v>
      </c>
      <c r="AK23">
        <v>728.07500000000005</v>
      </c>
    </row>
    <row r="24" spans="1:37" x14ac:dyDescent="0.25">
      <c r="A24" s="3" t="s">
        <v>28</v>
      </c>
      <c r="B24" s="3">
        <v>1</v>
      </c>
      <c r="C24" s="3">
        <v>11</v>
      </c>
      <c r="D24" s="3">
        <v>2</v>
      </c>
      <c r="E24" s="3">
        <v>250729</v>
      </c>
      <c r="F24" s="3"/>
      <c r="G24" s="3"/>
      <c r="H24" s="3"/>
      <c r="I24" s="3"/>
      <c r="J24" s="2"/>
      <c r="K24" s="4"/>
      <c r="L24" s="5"/>
      <c r="M24" s="3"/>
      <c r="N24">
        <v>2594</v>
      </c>
      <c r="O24">
        <f t="shared" si="0"/>
        <v>82.334117464710047</v>
      </c>
      <c r="P24">
        <f t="shared" si="1"/>
        <v>15.526608532231998</v>
      </c>
      <c r="Q24">
        <f t="shared" si="2"/>
        <v>2.137336547357068</v>
      </c>
      <c r="R24">
        <f t="shared" si="3"/>
        <v>1.9374557008826725E-3</v>
      </c>
      <c r="S24">
        <v>90.371894409938022</v>
      </c>
      <c r="T24">
        <v>158.52587991718428</v>
      </c>
      <c r="U24">
        <v>-77.341485507246261</v>
      </c>
      <c r="V24">
        <v>81.491847826086996</v>
      </c>
      <c r="W24">
        <v>3.25</v>
      </c>
      <c r="X24">
        <v>117</v>
      </c>
      <c r="Y24">
        <v>11</v>
      </c>
      <c r="Z24">
        <v>14</v>
      </c>
      <c r="AA24">
        <v>457.5</v>
      </c>
      <c r="AB24">
        <v>22</v>
      </c>
      <c r="AD24">
        <f t="shared" si="4"/>
        <v>893.30474945121807</v>
      </c>
      <c r="AE24">
        <f t="shared" si="5"/>
        <v>168.45985081042002</v>
      </c>
      <c r="AF24">
        <f t="shared" si="6"/>
        <v>23.189571318938302</v>
      </c>
      <c r="AG24">
        <v>509.952</v>
      </c>
      <c r="AH24">
        <v>96.167000000000002</v>
      </c>
      <c r="AI24">
        <v>13.238</v>
      </c>
      <c r="AJ24">
        <v>1.2E-2</v>
      </c>
      <c r="AK24">
        <v>619.36900000000003</v>
      </c>
    </row>
    <row r="25" spans="1:37" x14ac:dyDescent="0.25">
      <c r="A25" s="3" t="s">
        <v>28</v>
      </c>
      <c r="B25" s="3">
        <v>1</v>
      </c>
      <c r="C25" s="3">
        <v>11</v>
      </c>
      <c r="D25" s="3">
        <v>3</v>
      </c>
      <c r="E25" s="3">
        <v>250819</v>
      </c>
      <c r="F25" s="3"/>
      <c r="G25" s="3"/>
      <c r="H25" s="3"/>
      <c r="I25" s="3"/>
      <c r="J25" s="2"/>
      <c r="K25" s="4"/>
      <c r="L25" s="5"/>
      <c r="M25" s="3"/>
      <c r="N25">
        <v>2787.8571428571427</v>
      </c>
      <c r="O25">
        <f t="shared" si="0"/>
        <v>79.228341596038618</v>
      </c>
      <c r="P25">
        <f t="shared" si="1"/>
        <v>18.948251392993168</v>
      </c>
      <c r="Q25">
        <f t="shared" si="2"/>
        <v>1.8234070109682059</v>
      </c>
      <c r="R25">
        <f t="shared" si="3"/>
        <v>0</v>
      </c>
      <c r="S25">
        <v>-644.44927536231876</v>
      </c>
      <c r="T25">
        <v>-438.44384057971001</v>
      </c>
      <c r="U25">
        <v>-156.199522397892</v>
      </c>
      <c r="V25">
        <v>-127.50387022397899</v>
      </c>
      <c r="W25">
        <v>3.25</v>
      </c>
      <c r="X25">
        <v>105</v>
      </c>
      <c r="Y25">
        <v>9</v>
      </c>
      <c r="Z25">
        <v>12</v>
      </c>
      <c r="AA25">
        <v>420</v>
      </c>
      <c r="AB25">
        <v>20</v>
      </c>
      <c r="AD25">
        <f t="shared" si="4"/>
        <v>786.27055231699762</v>
      </c>
      <c r="AE25">
        <f t="shared" si="5"/>
        <v>188.04447736862605</v>
      </c>
      <c r="AF25">
        <f t="shared" si="6"/>
        <v>18.095686577949792</v>
      </c>
      <c r="AG25">
        <v>536.48599999999999</v>
      </c>
      <c r="AH25">
        <v>128.30600000000001</v>
      </c>
      <c r="AI25">
        <v>12.347</v>
      </c>
      <c r="AJ25">
        <v>0</v>
      </c>
      <c r="AK25">
        <v>677.13900000000001</v>
      </c>
    </row>
    <row r="26" spans="1:37" x14ac:dyDescent="0.25">
      <c r="A26" s="3" t="s">
        <v>29</v>
      </c>
      <c r="B26" s="3">
        <v>1</v>
      </c>
      <c r="C26" s="3">
        <v>1</v>
      </c>
      <c r="D26" s="3">
        <v>1</v>
      </c>
      <c r="E26" s="3">
        <v>250703</v>
      </c>
      <c r="F26" s="3">
        <v>62</v>
      </c>
      <c r="G26" s="3" t="s">
        <v>17</v>
      </c>
      <c r="H26" s="3" t="s">
        <v>34</v>
      </c>
      <c r="I26" s="3">
        <v>162</v>
      </c>
      <c r="J26" s="2">
        <f t="shared" si="7"/>
        <v>5</v>
      </c>
      <c r="K26" s="4">
        <f t="shared" si="10"/>
        <v>3.75</v>
      </c>
      <c r="L26" s="5">
        <f t="shared" ref="L26" si="11">M26/2.2</f>
        <v>81.36363636363636</v>
      </c>
      <c r="M26" s="3">
        <v>179</v>
      </c>
      <c r="N26">
        <v>9009.75</v>
      </c>
      <c r="O26">
        <f t="shared" si="0"/>
        <v>82.642062273050939</v>
      </c>
      <c r="P26">
        <f t="shared" si="1"/>
        <v>9.5073755889422085</v>
      </c>
      <c r="Q26">
        <f t="shared" si="2"/>
        <v>7.8335111186287154</v>
      </c>
      <c r="R26">
        <f t="shared" si="3"/>
        <v>1.7051019378142501E-2</v>
      </c>
      <c r="S26">
        <v>-229.14583333333348</v>
      </c>
      <c r="T26">
        <v>69.562499999999773</v>
      </c>
      <c r="U26">
        <v>23.184782608695627</v>
      </c>
      <c r="V26">
        <v>-63.981884057971001</v>
      </c>
      <c r="W26">
        <v>3.25</v>
      </c>
      <c r="X26">
        <v>104</v>
      </c>
      <c r="Y26">
        <v>12</v>
      </c>
      <c r="Z26">
        <v>13</v>
      </c>
      <c r="AA26">
        <v>442.5</v>
      </c>
      <c r="AB26">
        <v>22</v>
      </c>
      <c r="AD26">
        <f t="shared" si="4"/>
        <v>757.54904347178172</v>
      </c>
      <c r="AE26">
        <f t="shared" si="5"/>
        <v>87.150575448293992</v>
      </c>
      <c r="AF26">
        <f t="shared" si="6"/>
        <v>71.806882496903498</v>
      </c>
      <c r="AG26">
        <v>605.84400000000005</v>
      </c>
      <c r="AH26">
        <v>69.697999999999993</v>
      </c>
      <c r="AI26">
        <v>57.427</v>
      </c>
      <c r="AJ26">
        <v>0.125</v>
      </c>
      <c r="AK26">
        <v>733.09400000000005</v>
      </c>
    </row>
    <row r="27" spans="1:37" x14ac:dyDescent="0.25">
      <c r="A27" s="3" t="s">
        <v>29</v>
      </c>
      <c r="B27" s="3">
        <v>1</v>
      </c>
      <c r="C27" s="3">
        <v>1</v>
      </c>
      <c r="D27" s="3">
        <v>2</v>
      </c>
      <c r="E27" s="3">
        <v>250807</v>
      </c>
      <c r="F27" s="3"/>
      <c r="G27" s="3"/>
      <c r="H27" s="3"/>
      <c r="I27" s="3"/>
      <c r="J27" s="2"/>
      <c r="K27" s="4"/>
      <c r="L27" s="5"/>
      <c r="M27" s="3"/>
      <c r="N27">
        <v>11848</v>
      </c>
      <c r="O27">
        <f t="shared" si="0"/>
        <v>74.812864702798564</v>
      </c>
      <c r="P27">
        <f t="shared" si="1"/>
        <v>15.039242243262558</v>
      </c>
      <c r="Q27">
        <f t="shared" si="2"/>
        <v>10.116032135100452</v>
      </c>
      <c r="R27">
        <f t="shared" si="3"/>
        <v>3.1733982906807449E-2</v>
      </c>
      <c r="S27">
        <v>8.1204710144926366</v>
      </c>
      <c r="T27">
        <v>218.07699275362302</v>
      </c>
      <c r="U27">
        <v>17.997282608695514</v>
      </c>
      <c r="V27">
        <v>-112.35054347826099</v>
      </c>
      <c r="W27">
        <v>3.25</v>
      </c>
      <c r="X27">
        <v>105</v>
      </c>
      <c r="Y27">
        <v>12</v>
      </c>
      <c r="Z27">
        <v>11</v>
      </c>
      <c r="AA27">
        <v>532.5</v>
      </c>
      <c r="AB27">
        <v>28</v>
      </c>
      <c r="AD27">
        <f t="shared" si="4"/>
        <v>638.16081361210968</v>
      </c>
      <c r="AE27">
        <f t="shared" si="5"/>
        <v>128.28615912780339</v>
      </c>
      <c r="AF27">
        <f t="shared" si="6"/>
        <v>86.290711143166021</v>
      </c>
      <c r="AG27">
        <v>589.375</v>
      </c>
      <c r="AH27">
        <v>118.479</v>
      </c>
      <c r="AI27">
        <v>79.694000000000003</v>
      </c>
      <c r="AJ27">
        <v>0.25</v>
      </c>
      <c r="AK27">
        <v>787.79899999999998</v>
      </c>
    </row>
    <row r="28" spans="1:37" x14ac:dyDescent="0.25">
      <c r="A28" s="3" t="s">
        <v>29</v>
      </c>
      <c r="B28" s="3">
        <v>1</v>
      </c>
      <c r="C28" s="3">
        <v>1</v>
      </c>
      <c r="D28" s="3">
        <v>3</v>
      </c>
      <c r="E28" s="3">
        <v>250905</v>
      </c>
      <c r="F28" s="3"/>
      <c r="G28" s="3"/>
      <c r="H28" s="3"/>
      <c r="I28" s="3"/>
      <c r="J28" s="2"/>
      <c r="K28" s="4"/>
      <c r="L28" s="5"/>
      <c r="M28" s="3"/>
      <c r="N28">
        <v>7946.2222222222226</v>
      </c>
      <c r="O28">
        <f t="shared" si="0"/>
        <v>78.696168826314789</v>
      </c>
      <c r="P28">
        <f t="shared" si="1"/>
        <v>14.936112736467937</v>
      </c>
      <c r="Q28">
        <f t="shared" si="2"/>
        <v>6.3581811011241172</v>
      </c>
      <c r="R28">
        <f t="shared" si="3"/>
        <v>9.5373360931462637E-3</v>
      </c>
      <c r="S28">
        <v>53.422101449275374</v>
      </c>
      <c r="T28">
        <v>292.63043478260863</v>
      </c>
      <c r="U28">
        <v>122.04166666666674</v>
      </c>
      <c r="V28">
        <v>65.208333333333371</v>
      </c>
      <c r="W28">
        <v>4</v>
      </c>
      <c r="X28">
        <v>108</v>
      </c>
      <c r="Y28">
        <v>12</v>
      </c>
      <c r="Z28">
        <v>12</v>
      </c>
      <c r="AA28">
        <v>457.5</v>
      </c>
      <c r="AB28">
        <v>29</v>
      </c>
      <c r="AD28">
        <f t="shared" si="4"/>
        <v>681.58218543266685</v>
      </c>
      <c r="AE28">
        <f t="shared" si="5"/>
        <v>129.3606602788827</v>
      </c>
      <c r="AF28">
        <f t="shared" si="6"/>
        <v>55.067775660659088</v>
      </c>
      <c r="AG28">
        <v>610.60199999999998</v>
      </c>
      <c r="AH28">
        <v>115.889</v>
      </c>
      <c r="AI28">
        <v>49.332999999999998</v>
      </c>
      <c r="AJ28">
        <v>7.3999999999999996E-2</v>
      </c>
      <c r="AK28">
        <v>775.89800000000002</v>
      </c>
    </row>
    <row r="29" spans="1:37" x14ac:dyDescent="0.25">
      <c r="A29" t="s">
        <v>31</v>
      </c>
      <c r="B29">
        <v>0</v>
      </c>
      <c r="C29">
        <v>11</v>
      </c>
      <c r="D29">
        <v>1</v>
      </c>
      <c r="E29">
        <v>250702</v>
      </c>
      <c r="F29" s="3">
        <v>64</v>
      </c>
      <c r="G29" s="3" t="s">
        <v>21</v>
      </c>
      <c r="H29" t="s">
        <v>36</v>
      </c>
      <c r="I29" s="3">
        <v>172</v>
      </c>
      <c r="J29" s="2">
        <f t="shared" si="7"/>
        <v>5</v>
      </c>
      <c r="K29" s="4">
        <f t="shared" si="10"/>
        <v>7.75</v>
      </c>
      <c r="L29">
        <f>M29/2.2</f>
        <v>85.909090909090907</v>
      </c>
      <c r="M29" s="3">
        <v>189</v>
      </c>
      <c r="N29">
        <v>16352.142857142857</v>
      </c>
      <c r="O29">
        <f t="shared" si="0"/>
        <v>71.127604473514651</v>
      </c>
      <c r="P29">
        <f t="shared" si="1"/>
        <v>12.858847626234391</v>
      </c>
      <c r="Q29">
        <f t="shared" si="2"/>
        <v>16.009035276185127</v>
      </c>
      <c r="R29">
        <f t="shared" si="3"/>
        <v>4.5126240658241428E-3</v>
      </c>
      <c r="S29">
        <v>73.97192028985512</v>
      </c>
      <c r="T29">
        <v>532.79603096179187</v>
      </c>
      <c r="U29">
        <v>347.75543478260875</v>
      </c>
      <c r="V29">
        <v>117.17210144927537</v>
      </c>
      <c r="W29">
        <v>2.75</v>
      </c>
      <c r="X29">
        <v>102</v>
      </c>
      <c r="Y29">
        <v>12</v>
      </c>
      <c r="Z29">
        <v>12</v>
      </c>
      <c r="AA29">
        <v>517.5</v>
      </c>
      <c r="AB29">
        <v>32</v>
      </c>
      <c r="AD29">
        <f t="shared" si="4"/>
        <v>599.1479940909926</v>
      </c>
      <c r="AE29">
        <f t="shared" si="5"/>
        <v>108.31733781290049</v>
      </c>
      <c r="AF29">
        <f t="shared" si="6"/>
        <v>134.85314800148925</v>
      </c>
      <c r="AG29">
        <v>567.42899999999997</v>
      </c>
      <c r="AH29">
        <v>102.583</v>
      </c>
      <c r="AI29">
        <v>127.714</v>
      </c>
      <c r="AJ29">
        <v>3.5999999999999997E-2</v>
      </c>
      <c r="AK29">
        <v>797.76199999999994</v>
      </c>
    </row>
    <row r="30" spans="1:37" x14ac:dyDescent="0.25">
      <c r="A30" t="s">
        <v>31</v>
      </c>
      <c r="B30" s="3">
        <v>0</v>
      </c>
      <c r="C30" s="3">
        <v>11</v>
      </c>
      <c r="D30">
        <v>2</v>
      </c>
      <c r="E30" s="3">
        <v>250806</v>
      </c>
      <c r="F30" s="3"/>
      <c r="G30" s="3"/>
      <c r="I30" s="3"/>
      <c r="J30" s="2"/>
      <c r="K30" s="4"/>
      <c r="M30" s="3"/>
      <c r="N30">
        <v>24100.625</v>
      </c>
      <c r="O30">
        <f t="shared" si="0"/>
        <v>65.546382497023643</v>
      </c>
      <c r="P30">
        <f t="shared" si="1"/>
        <v>11.462541717899173</v>
      </c>
      <c r="Q30">
        <f t="shared" si="2"/>
        <v>22.987294338075998</v>
      </c>
      <c r="R30">
        <f t="shared" si="3"/>
        <v>3.7814470011905458E-3</v>
      </c>
      <c r="S30">
        <v>124.67210144927537</v>
      </c>
      <c r="T30">
        <v>247.98757763975163</v>
      </c>
      <c r="U30">
        <v>66.958333333333371</v>
      </c>
      <c r="V30">
        <v>-79.875</v>
      </c>
      <c r="W30">
        <v>3</v>
      </c>
      <c r="X30">
        <v>104</v>
      </c>
      <c r="Y30">
        <v>12</v>
      </c>
      <c r="Z30">
        <v>14</v>
      </c>
      <c r="AA30">
        <v>577.5</v>
      </c>
      <c r="AB30">
        <v>32</v>
      </c>
      <c r="AD30">
        <f t="shared" si="4"/>
        <v>537.29688796670234</v>
      </c>
      <c r="AE30">
        <f t="shared" si="5"/>
        <v>93.96076119830694</v>
      </c>
      <c r="AF30">
        <f t="shared" si="6"/>
        <v>188.43147768198605</v>
      </c>
      <c r="AG30">
        <v>537.34400000000005</v>
      </c>
      <c r="AH30">
        <v>93.968999999999994</v>
      </c>
      <c r="AI30">
        <v>188.44800000000001</v>
      </c>
      <c r="AJ30">
        <v>3.1E-2</v>
      </c>
      <c r="AK30">
        <v>819.79200000000003</v>
      </c>
    </row>
    <row r="31" spans="1:37" x14ac:dyDescent="0.25">
      <c r="A31" t="s">
        <v>31</v>
      </c>
      <c r="B31" s="3">
        <v>0</v>
      </c>
      <c r="C31" s="3">
        <v>11</v>
      </c>
      <c r="D31">
        <v>3</v>
      </c>
      <c r="E31" s="3">
        <v>250905</v>
      </c>
      <c r="F31" s="3"/>
      <c r="G31" s="3"/>
      <c r="I31" s="3"/>
      <c r="J31" s="2"/>
      <c r="K31" s="4"/>
      <c r="M31" s="3"/>
      <c r="N31">
        <v>19023.875</v>
      </c>
      <c r="O31">
        <f t="shared" si="0"/>
        <v>71.235315317939055</v>
      </c>
      <c r="P31">
        <f t="shared" si="1"/>
        <v>10.490332773916874</v>
      </c>
      <c r="Q31">
        <f t="shared" si="2"/>
        <v>18.269255272287769</v>
      </c>
      <c r="R31">
        <f t="shared" si="3"/>
        <v>5.0966358562894313E-3</v>
      </c>
      <c r="S31">
        <v>177.9202898550725</v>
      </c>
      <c r="T31">
        <v>162.7771739130435</v>
      </c>
      <c r="U31">
        <v>146.5</v>
      </c>
      <c r="V31">
        <v>179.375</v>
      </c>
      <c r="W31">
        <v>3</v>
      </c>
      <c r="X31">
        <v>106</v>
      </c>
      <c r="Y31">
        <v>12</v>
      </c>
      <c r="Z31">
        <v>12</v>
      </c>
      <c r="AA31">
        <v>585</v>
      </c>
      <c r="AB31">
        <v>36</v>
      </c>
      <c r="AD31">
        <f t="shared" si="4"/>
        <v>580.89673965358702</v>
      </c>
      <c r="AE31">
        <f t="shared" si="5"/>
        <v>85.544649855924646</v>
      </c>
      <c r="AF31">
        <f t="shared" si="6"/>
        <v>148.97878638151451</v>
      </c>
      <c r="AG31">
        <v>587.03099999999995</v>
      </c>
      <c r="AH31">
        <v>86.447999999999993</v>
      </c>
      <c r="AI31">
        <v>150.55199999999999</v>
      </c>
      <c r="AJ31">
        <v>4.2000000000000003E-2</v>
      </c>
      <c r="AK31">
        <v>824.07299999999998</v>
      </c>
    </row>
    <row r="32" spans="1:37" x14ac:dyDescent="0.25">
      <c r="A32" t="s">
        <v>35</v>
      </c>
      <c r="B32">
        <v>0</v>
      </c>
      <c r="C32">
        <v>1</v>
      </c>
      <c r="D32">
        <v>1</v>
      </c>
      <c r="E32">
        <v>250702</v>
      </c>
      <c r="F32">
        <v>69</v>
      </c>
      <c r="G32" t="s">
        <v>17</v>
      </c>
      <c r="H32" t="s">
        <v>36</v>
      </c>
      <c r="I32">
        <v>162</v>
      </c>
      <c r="J32" s="2">
        <f t="shared" si="7"/>
        <v>5</v>
      </c>
      <c r="K32" s="4">
        <f t="shared" si="10"/>
        <v>3.75</v>
      </c>
      <c r="L32">
        <f>M32/2.2</f>
        <v>83.181818181818173</v>
      </c>
      <c r="M32">
        <v>183</v>
      </c>
      <c r="N32">
        <v>2918.6666666666665</v>
      </c>
      <c r="O32">
        <f t="shared" si="0"/>
        <v>89.697435915126121</v>
      </c>
      <c r="P32">
        <f t="shared" si="1"/>
        <v>9.1382103724759016</v>
      </c>
      <c r="Q32">
        <f t="shared" si="2"/>
        <v>1.1626289142855828</v>
      </c>
      <c r="R32">
        <f t="shared" si="3"/>
        <v>1.6098115715555495E-3</v>
      </c>
      <c r="S32">
        <v>108.97356719367588</v>
      </c>
      <c r="T32">
        <v>144.83522727272737</v>
      </c>
      <c r="U32">
        <v>165.64229249011851</v>
      </c>
      <c r="V32">
        <v>268.0513833992095</v>
      </c>
      <c r="W32">
        <v>2</v>
      </c>
      <c r="X32">
        <v>76</v>
      </c>
      <c r="Y32">
        <v>10</v>
      </c>
      <c r="Z32">
        <v>14</v>
      </c>
      <c r="AA32">
        <v>322.5</v>
      </c>
      <c r="AB32">
        <v>30</v>
      </c>
      <c r="AD32">
        <f t="shared" si="4"/>
        <v>693.10065732015528</v>
      </c>
      <c r="AE32">
        <f t="shared" si="5"/>
        <v>70.61182464441913</v>
      </c>
      <c r="AF32">
        <f t="shared" si="6"/>
        <v>8.983744702281582</v>
      </c>
      <c r="AG32">
        <v>780.06899999999996</v>
      </c>
      <c r="AH32">
        <v>79.471999999999994</v>
      </c>
      <c r="AI32">
        <v>10.111000000000001</v>
      </c>
      <c r="AJ32">
        <v>1.4E-2</v>
      </c>
      <c r="AK32">
        <v>869.66700000000003</v>
      </c>
    </row>
    <row r="33" spans="1:37" x14ac:dyDescent="0.25">
      <c r="A33" t="s">
        <v>35</v>
      </c>
      <c r="B33">
        <v>0</v>
      </c>
      <c r="C33">
        <v>1</v>
      </c>
      <c r="D33">
        <v>2</v>
      </c>
      <c r="E33">
        <v>250807</v>
      </c>
      <c r="J33" s="2"/>
      <c r="K33" s="4"/>
      <c r="N33">
        <v>1506.1428571428571</v>
      </c>
      <c r="O33">
        <f t="shared" si="0"/>
        <v>91.944532627630707</v>
      </c>
      <c r="P33">
        <f t="shared" si="1"/>
        <v>7.445758448023347</v>
      </c>
      <c r="Q33">
        <f t="shared" si="2"/>
        <v>0.60504040272001403</v>
      </c>
      <c r="R33">
        <f t="shared" si="3"/>
        <v>4.8019079580953498E-3</v>
      </c>
      <c r="S33">
        <v>283.44622859025037</v>
      </c>
      <c r="T33">
        <v>339.94622859025037</v>
      </c>
      <c r="U33">
        <v>96.971014492753625</v>
      </c>
      <c r="V33">
        <v>314.05434782608688</v>
      </c>
      <c r="W33">
        <v>0.5</v>
      </c>
      <c r="X33">
        <v>75</v>
      </c>
      <c r="Y33">
        <v>10</v>
      </c>
      <c r="Z33">
        <v>14</v>
      </c>
      <c r="AA33">
        <v>360</v>
      </c>
      <c r="AB33">
        <v>33</v>
      </c>
      <c r="AD33">
        <f t="shared" si="4"/>
        <v>824.1504747988912</v>
      </c>
      <c r="AE33">
        <f t="shared" si="5"/>
        <v>66.740513925155454</v>
      </c>
      <c r="AF33">
        <f t="shared" si="6"/>
        <v>5.4233168729421743</v>
      </c>
      <c r="AG33">
        <v>689.31</v>
      </c>
      <c r="AH33">
        <v>55.820999999999998</v>
      </c>
      <c r="AI33">
        <v>4.5359999999999996</v>
      </c>
      <c r="AJ33">
        <v>3.5999999999999997E-2</v>
      </c>
      <c r="AK33">
        <v>749.702</v>
      </c>
    </row>
    <row r="34" spans="1:37" x14ac:dyDescent="0.25">
      <c r="A34" t="s">
        <v>35</v>
      </c>
      <c r="B34">
        <v>0</v>
      </c>
      <c r="C34">
        <v>1</v>
      </c>
      <c r="D34">
        <v>3</v>
      </c>
      <c r="E34">
        <v>250902</v>
      </c>
      <c r="J34" s="2"/>
      <c r="K34" s="4"/>
      <c r="N34">
        <v>2106.8571428571427</v>
      </c>
      <c r="O34">
        <f t="shared" si="0"/>
        <v>93.112759831470129</v>
      </c>
      <c r="P34">
        <f t="shared" si="1"/>
        <v>5.6049768224344323</v>
      </c>
      <c r="Q34">
        <f t="shared" si="2"/>
        <v>1.2807840700800286</v>
      </c>
      <c r="R34">
        <f t="shared" si="3"/>
        <v>1.6137556531877727E-3</v>
      </c>
      <c r="S34">
        <v>183.46467391304361</v>
      </c>
      <c r="T34">
        <v>176.21467391304361</v>
      </c>
      <c r="U34">
        <v>64.771739130434753</v>
      </c>
      <c r="V34">
        <v>111.35507246376812</v>
      </c>
      <c r="W34">
        <v>0</v>
      </c>
      <c r="X34">
        <v>81</v>
      </c>
      <c r="Y34">
        <v>14</v>
      </c>
      <c r="Z34">
        <v>14</v>
      </c>
      <c r="AA34">
        <v>405</v>
      </c>
      <c r="AB34">
        <v>36</v>
      </c>
      <c r="AD34">
        <f t="shared" si="4"/>
        <v>841.46295834692148</v>
      </c>
      <c r="AE34">
        <f t="shared" si="5"/>
        <v>50.65235298586402</v>
      </c>
      <c r="AF34">
        <f t="shared" si="6"/>
        <v>11.574486188185146</v>
      </c>
      <c r="AG34">
        <v>692.39300000000003</v>
      </c>
      <c r="AH34">
        <v>41.679000000000002</v>
      </c>
      <c r="AI34">
        <v>9.5239999999999991</v>
      </c>
      <c r="AJ34">
        <v>1.2E-2</v>
      </c>
      <c r="AK34">
        <v>743.60699999999997</v>
      </c>
    </row>
    <row r="35" spans="1:37" x14ac:dyDescent="0.25">
      <c r="A35" t="s">
        <v>37</v>
      </c>
      <c r="B35">
        <v>1</v>
      </c>
      <c r="C35">
        <v>1</v>
      </c>
      <c r="D35">
        <v>1</v>
      </c>
      <c r="E35">
        <v>250714</v>
      </c>
      <c r="F35">
        <v>70</v>
      </c>
      <c r="G35" t="s">
        <v>17</v>
      </c>
      <c r="H35" t="s">
        <v>30</v>
      </c>
      <c r="I35">
        <v>161</v>
      </c>
      <c r="J35" s="2">
        <f t="shared" ref="J35" si="12">INT(ROUND(I35 / 2.54 *8, 0) / 96)</f>
        <v>5</v>
      </c>
      <c r="K35" s="4">
        <f t="shared" ref="K35" si="13">ROUND((I35 / 2.54 - J35 * 12) * 8,0) / 8</f>
        <v>3.375</v>
      </c>
      <c r="L35">
        <f t="shared" ref="L35" si="14">M35/2.2</f>
        <v>76.72727272727272</v>
      </c>
      <c r="M35">
        <v>168.8</v>
      </c>
      <c r="N35">
        <v>2776.75</v>
      </c>
      <c r="O35">
        <f t="shared" si="0"/>
        <v>88.291226548036292</v>
      </c>
      <c r="P35">
        <f t="shared" si="1"/>
        <v>10.589786058453761</v>
      </c>
      <c r="Q35">
        <f t="shared" si="2"/>
        <v>1.1070042145490655</v>
      </c>
      <c r="R35">
        <f t="shared" si="3"/>
        <v>1.2076071821043763E-2</v>
      </c>
      <c r="S35">
        <v>77.156291172595502</v>
      </c>
      <c r="T35">
        <v>593.91612554112567</v>
      </c>
      <c r="U35">
        <v>456.03409090909099</v>
      </c>
      <c r="V35">
        <v>174.81126482213449</v>
      </c>
      <c r="W35">
        <v>0</v>
      </c>
      <c r="X35">
        <v>64</v>
      </c>
      <c r="Y35">
        <v>12</v>
      </c>
      <c r="Z35">
        <v>13</v>
      </c>
      <c r="AA35">
        <v>457.5</v>
      </c>
      <c r="AB35">
        <v>18</v>
      </c>
      <c r="AD35">
        <f t="shared" si="4"/>
        <v>551.14917051580983</v>
      </c>
      <c r="AE35">
        <f t="shared" si="5"/>
        <v>66.105682639726439</v>
      </c>
      <c r="AF35">
        <f t="shared" si="6"/>
        <v>6.9103633334878944</v>
      </c>
      <c r="AG35">
        <v>950.46299999999997</v>
      </c>
      <c r="AH35">
        <v>114</v>
      </c>
      <c r="AI35">
        <v>11.917</v>
      </c>
      <c r="AJ35">
        <v>0.13</v>
      </c>
      <c r="AK35">
        <v>1076.509</v>
      </c>
    </row>
    <row r="36" spans="1:37" x14ac:dyDescent="0.25">
      <c r="A36" t="s">
        <v>37</v>
      </c>
      <c r="B36">
        <v>1</v>
      </c>
      <c r="C36">
        <v>1</v>
      </c>
      <c r="D36">
        <v>2</v>
      </c>
      <c r="E36">
        <v>250731</v>
      </c>
      <c r="J36" s="2"/>
      <c r="K36" s="4"/>
      <c r="N36">
        <v>2862</v>
      </c>
      <c r="O36">
        <f t="shared" si="0"/>
        <v>89.293694976237532</v>
      </c>
      <c r="P36">
        <f t="shared" si="1"/>
        <v>9.7018004235457429</v>
      </c>
      <c r="Q36">
        <f t="shared" si="2"/>
        <v>1.0044160664074397</v>
      </c>
      <c r="R36">
        <f t="shared" si="3"/>
        <v>0</v>
      </c>
      <c r="S36">
        <v>-23.179924242424249</v>
      </c>
      <c r="T36">
        <v>-10.509469696969745</v>
      </c>
      <c r="U36">
        <v>-38.215579710144993</v>
      </c>
      <c r="V36">
        <v>-87.086956521739125</v>
      </c>
      <c r="W36">
        <v>0</v>
      </c>
      <c r="X36">
        <v>58</v>
      </c>
      <c r="Y36">
        <v>4</v>
      </c>
      <c r="Z36">
        <v>6</v>
      </c>
      <c r="AA36">
        <v>405</v>
      </c>
      <c r="AB36">
        <v>16</v>
      </c>
      <c r="AD36">
        <f t="shared" si="4"/>
        <v>531.25033664123646</v>
      </c>
      <c r="AE36">
        <f t="shared" si="5"/>
        <v>57.720589817750842</v>
      </c>
      <c r="AF36">
        <f t="shared" si="6"/>
        <v>5.9757452477335304</v>
      </c>
      <c r="AG36">
        <v>1008.583</v>
      </c>
      <c r="AH36">
        <v>109.583</v>
      </c>
      <c r="AI36">
        <v>11.345000000000001</v>
      </c>
      <c r="AJ36">
        <v>0</v>
      </c>
      <c r="AK36">
        <v>1129.5119999999999</v>
      </c>
    </row>
    <row r="37" spans="1:37" x14ac:dyDescent="0.25">
      <c r="A37" t="s">
        <v>37</v>
      </c>
      <c r="B37">
        <v>1</v>
      </c>
      <c r="C37">
        <v>1</v>
      </c>
      <c r="D37">
        <v>3</v>
      </c>
      <c r="E37">
        <v>250902</v>
      </c>
      <c r="J37" s="2"/>
      <c r="K37" s="4"/>
      <c r="N37">
        <v>3028</v>
      </c>
      <c r="O37">
        <f t="shared" si="0"/>
        <v>88.762466664916303</v>
      </c>
      <c r="P37">
        <f t="shared" si="1"/>
        <v>10.040283409161663</v>
      </c>
      <c r="Q37">
        <f t="shared" si="2"/>
        <v>1.1964059997524485</v>
      </c>
      <c r="R37">
        <f t="shared" si="3"/>
        <v>8.4392616958790139E-4</v>
      </c>
      <c r="S37">
        <v>-234.91666666666652</v>
      </c>
      <c r="T37">
        <v>-410.24999999999989</v>
      </c>
      <c r="U37">
        <v>55.321557971014613</v>
      </c>
      <c r="V37">
        <v>-6.8124999999998863</v>
      </c>
      <c r="W37">
        <v>1</v>
      </c>
      <c r="X37">
        <v>60</v>
      </c>
      <c r="Y37">
        <v>6</v>
      </c>
      <c r="Z37">
        <v>8</v>
      </c>
      <c r="AA37">
        <v>412.5</v>
      </c>
      <c r="AB37">
        <v>22</v>
      </c>
      <c r="AD37">
        <f t="shared" si="4"/>
        <v>559.32029810120139</v>
      </c>
      <c r="AE37">
        <f t="shared" si="5"/>
        <v>63.26699246239501</v>
      </c>
      <c r="AF37">
        <f t="shared" si="6"/>
        <v>7.5389315504015713</v>
      </c>
      <c r="AG37">
        <v>946.60199999999998</v>
      </c>
      <c r="AH37">
        <v>107.074</v>
      </c>
      <c r="AI37">
        <v>12.759</v>
      </c>
      <c r="AJ37">
        <v>8.9999999999999993E-3</v>
      </c>
      <c r="AK37">
        <v>1066.444</v>
      </c>
    </row>
    <row r="38" spans="1:37" x14ac:dyDescent="0.25">
      <c r="A38" t="s">
        <v>38</v>
      </c>
      <c r="B38">
        <v>1</v>
      </c>
      <c r="C38">
        <v>11</v>
      </c>
      <c r="D38">
        <v>1</v>
      </c>
      <c r="E38">
        <v>250716</v>
      </c>
      <c r="F38">
        <v>66</v>
      </c>
      <c r="G38" t="s">
        <v>17</v>
      </c>
      <c r="H38" t="s">
        <v>30</v>
      </c>
      <c r="I38">
        <v>163.5</v>
      </c>
      <c r="J38" s="2">
        <f t="shared" ref="J38:J41" si="15">INT(ROUND(I38 / 2.54 *8, 0) / 96)</f>
        <v>5</v>
      </c>
      <c r="K38" s="4">
        <f t="shared" ref="K38:K41" si="16">ROUND((I38 / 2.54 - J38 * 12) * 8,0) / 8</f>
        <v>4.375</v>
      </c>
      <c r="L38">
        <f t="shared" ref="L38:L41" si="17">M38/2.2</f>
        <v>76.36363636363636</v>
      </c>
      <c r="M38">
        <v>168</v>
      </c>
      <c r="N38">
        <v>2980.1428571428573</v>
      </c>
      <c r="O38">
        <f t="shared" si="0"/>
        <v>89.515820954806443</v>
      </c>
      <c r="P38">
        <f t="shared" si="1"/>
        <v>9.2884805224390607</v>
      </c>
      <c r="Q38">
        <f t="shared" si="2"/>
        <v>1.1903245968095235</v>
      </c>
      <c r="R38">
        <f t="shared" si="3"/>
        <v>5.2571014678995543E-3</v>
      </c>
      <c r="S38">
        <v>181.82518115942025</v>
      </c>
      <c r="T38">
        <v>1354.2299430641822</v>
      </c>
      <c r="U38">
        <v>145.78713768115927</v>
      </c>
      <c r="V38">
        <v>78.453804347826008</v>
      </c>
      <c r="W38">
        <v>1.25</v>
      </c>
      <c r="X38">
        <v>107</v>
      </c>
      <c r="Y38">
        <v>8</v>
      </c>
      <c r="Z38">
        <v>12</v>
      </c>
      <c r="AA38">
        <v>375</v>
      </c>
      <c r="AB38">
        <v>22</v>
      </c>
      <c r="AD38">
        <f t="shared" si="4"/>
        <v>702.75333892100832</v>
      </c>
      <c r="AE38">
        <f t="shared" si="5"/>
        <v>72.920190319679065</v>
      </c>
      <c r="AF38">
        <f t="shared" si="6"/>
        <v>9.3447680631786749</v>
      </c>
      <c r="AG38">
        <v>766.24199999999996</v>
      </c>
      <c r="AH38">
        <v>79.507999999999996</v>
      </c>
      <c r="AI38">
        <v>10.189</v>
      </c>
      <c r="AJ38">
        <v>4.4999999999999998E-2</v>
      </c>
      <c r="AK38">
        <v>855.98500000000001</v>
      </c>
    </row>
    <row r="39" spans="1:37" x14ac:dyDescent="0.25">
      <c r="A39" t="s">
        <v>38</v>
      </c>
      <c r="B39">
        <v>1</v>
      </c>
      <c r="C39">
        <v>11</v>
      </c>
      <c r="D39">
        <v>2</v>
      </c>
      <c r="E39">
        <v>250818</v>
      </c>
      <c r="J39" s="2"/>
      <c r="K39" s="4"/>
      <c r="N39">
        <v>1929.375</v>
      </c>
      <c r="O39">
        <f t="shared" si="0"/>
        <v>84.545119906201847</v>
      </c>
      <c r="P39">
        <f t="shared" si="1"/>
        <v>14.86659668161802</v>
      </c>
      <c r="Q39">
        <f t="shared" si="2"/>
        <v>0.58339809222575179</v>
      </c>
      <c r="R39">
        <f t="shared" si="3"/>
        <v>4.7717078624112128E-3</v>
      </c>
      <c r="S39">
        <v>16.347826086956502</v>
      </c>
      <c r="T39">
        <v>231.5533596837945</v>
      </c>
      <c r="U39">
        <v>-113.53894927536214</v>
      </c>
      <c r="V39">
        <v>-64.980978260869392</v>
      </c>
      <c r="W39">
        <v>0.5</v>
      </c>
      <c r="X39">
        <v>107</v>
      </c>
      <c r="Y39">
        <v>8</v>
      </c>
      <c r="Z39">
        <v>12</v>
      </c>
      <c r="AA39">
        <v>300</v>
      </c>
      <c r="AB39">
        <v>26</v>
      </c>
      <c r="AD39">
        <f t="shared" si="4"/>
        <v>645.4793814158752</v>
      </c>
      <c r="AE39">
        <f t="shared" si="5"/>
        <v>113.50249003675702</v>
      </c>
      <c r="AF39">
        <f t="shared" si="6"/>
        <v>4.454088421742914</v>
      </c>
      <c r="AG39">
        <v>744.15599999999995</v>
      </c>
      <c r="AH39">
        <v>130.85400000000001</v>
      </c>
      <c r="AI39">
        <v>5.1349999999999998</v>
      </c>
      <c r="AJ39">
        <v>4.2000000000000003E-2</v>
      </c>
      <c r="AK39">
        <v>880.18799999999999</v>
      </c>
    </row>
    <row r="40" spans="1:37" x14ac:dyDescent="0.25">
      <c r="A40" t="s">
        <v>38</v>
      </c>
      <c r="B40">
        <v>1</v>
      </c>
      <c r="C40">
        <v>11</v>
      </c>
      <c r="D40">
        <v>3</v>
      </c>
      <c r="E40">
        <v>250917</v>
      </c>
      <c r="J40" s="2"/>
      <c r="K40" s="4"/>
      <c r="N40">
        <v>3637.625</v>
      </c>
      <c r="O40">
        <f t="shared" si="0"/>
        <v>76.926355348173189</v>
      </c>
      <c r="P40">
        <f t="shared" si="1"/>
        <v>20.75423964560709</v>
      </c>
      <c r="Q40">
        <f t="shared" si="2"/>
        <v>2.3148911155083636</v>
      </c>
      <c r="R40">
        <f t="shared" si="3"/>
        <v>4.4089165087679702E-3</v>
      </c>
      <c r="S40">
        <v>-107.25</v>
      </c>
      <c r="T40">
        <v>221.34999999999991</v>
      </c>
      <c r="U40">
        <v>58.458333333333371</v>
      </c>
      <c r="V40">
        <v>5.0416666666666288</v>
      </c>
      <c r="W40">
        <v>1.5</v>
      </c>
      <c r="X40">
        <v>110</v>
      </c>
      <c r="Y40">
        <v>8</v>
      </c>
      <c r="Z40">
        <v>14</v>
      </c>
      <c r="AA40">
        <v>352.5</v>
      </c>
      <c r="AB40">
        <v>26</v>
      </c>
      <c r="AD40">
        <f t="shared" si="4"/>
        <v>542.65900488625925</v>
      </c>
      <c r="AE40">
        <f t="shared" si="5"/>
        <v>146.40593568071009</v>
      </c>
      <c r="AF40">
        <f t="shared" si="6"/>
        <v>16.329858648264203</v>
      </c>
      <c r="AG40">
        <v>732.81200000000001</v>
      </c>
      <c r="AH40">
        <v>197.708</v>
      </c>
      <c r="AI40">
        <v>22.052</v>
      </c>
      <c r="AJ40">
        <v>4.2000000000000003E-2</v>
      </c>
      <c r="AK40">
        <v>952.61500000000001</v>
      </c>
    </row>
    <row r="41" spans="1:37" x14ac:dyDescent="0.25">
      <c r="A41" t="s">
        <v>39</v>
      </c>
      <c r="B41">
        <v>0</v>
      </c>
      <c r="C41">
        <v>1</v>
      </c>
      <c r="D41">
        <v>1</v>
      </c>
      <c r="E41">
        <v>250715</v>
      </c>
      <c r="F41">
        <v>72</v>
      </c>
      <c r="G41" t="s">
        <v>17</v>
      </c>
      <c r="H41" t="s">
        <v>30</v>
      </c>
      <c r="I41">
        <v>155.5</v>
      </c>
      <c r="J41" s="2">
        <f t="shared" si="15"/>
        <v>5</v>
      </c>
      <c r="K41" s="4">
        <f t="shared" si="16"/>
        <v>1.25</v>
      </c>
      <c r="L41">
        <f t="shared" si="17"/>
        <v>57.090909090909086</v>
      </c>
      <c r="M41">
        <v>125.6</v>
      </c>
      <c r="N41">
        <v>8579.5714285714294</v>
      </c>
      <c r="O41">
        <f t="shared" si="0"/>
        <v>80.017436112992243</v>
      </c>
      <c r="P41">
        <f t="shared" si="1"/>
        <v>11.802068981622025</v>
      </c>
      <c r="Q41">
        <f t="shared" si="2"/>
        <v>8.1787824300025687</v>
      </c>
      <c r="R41">
        <f t="shared" si="3"/>
        <v>1.8681549634542184E-3</v>
      </c>
      <c r="S41">
        <v>303.13041125541133</v>
      </c>
      <c r="T41">
        <v>-75.696969696969745</v>
      </c>
      <c r="U41">
        <v>-42.034090909090878</v>
      </c>
      <c r="V41">
        <v>58.882575757575864</v>
      </c>
      <c r="W41">
        <v>2</v>
      </c>
      <c r="X41">
        <v>102</v>
      </c>
      <c r="Y41">
        <v>10</v>
      </c>
      <c r="Z41">
        <v>13</v>
      </c>
      <c r="AA41">
        <v>375</v>
      </c>
      <c r="AB41">
        <v>16</v>
      </c>
      <c r="AD41">
        <f t="shared" si="4"/>
        <v>837.11583444925691</v>
      </c>
      <c r="AE41">
        <f t="shared" si="5"/>
        <v>123.46932498345906</v>
      </c>
      <c r="AF41">
        <f t="shared" si="6"/>
        <v>85.563704753080145</v>
      </c>
      <c r="AG41">
        <v>513.98800000000006</v>
      </c>
      <c r="AH41">
        <v>75.81</v>
      </c>
      <c r="AI41">
        <v>52.536000000000001</v>
      </c>
      <c r="AJ41">
        <v>1.2E-2</v>
      </c>
      <c r="AK41">
        <v>642.34500000000003</v>
      </c>
    </row>
    <row r="42" spans="1:37" x14ac:dyDescent="0.25">
      <c r="A42" t="s">
        <v>39</v>
      </c>
      <c r="B42">
        <v>0</v>
      </c>
      <c r="C42">
        <v>1</v>
      </c>
      <c r="D42">
        <v>2</v>
      </c>
      <c r="E42">
        <v>250818</v>
      </c>
      <c r="N42">
        <v>8413.7142857142862</v>
      </c>
      <c r="O42">
        <f t="shared" si="0"/>
        <v>73.3803348217305</v>
      </c>
      <c r="P42">
        <f t="shared" si="1"/>
        <v>19.992515431287</v>
      </c>
      <c r="Q42">
        <f t="shared" si="2"/>
        <v>6.6218895079271798</v>
      </c>
      <c r="R42">
        <f t="shared" si="3"/>
        <v>5.4105315997589297E-3</v>
      </c>
      <c r="S42">
        <v>296.34019151138716</v>
      </c>
      <c r="T42">
        <v>223.46648550724638</v>
      </c>
      <c r="U42">
        <v>213.37812911725962</v>
      </c>
      <c r="V42">
        <v>21.764492753623244</v>
      </c>
      <c r="W42">
        <v>1.75</v>
      </c>
      <c r="X42">
        <v>98</v>
      </c>
      <c r="Y42">
        <v>10</v>
      </c>
      <c r="Z42">
        <v>12</v>
      </c>
      <c r="AA42">
        <v>390</v>
      </c>
      <c r="AB42">
        <v>20</v>
      </c>
      <c r="AD42">
        <f t="shared" si="4"/>
        <v>741.11635799387841</v>
      </c>
      <c r="AE42">
        <f t="shared" si="5"/>
        <v>201.91758813267319</v>
      </c>
      <c r="AF42">
        <f t="shared" si="6"/>
        <v>66.878825874470635</v>
      </c>
      <c r="AG42">
        <v>488.25</v>
      </c>
      <c r="AH42">
        <v>133.024</v>
      </c>
      <c r="AI42">
        <v>44.06</v>
      </c>
      <c r="AJ42">
        <v>3.5999999999999997E-2</v>
      </c>
      <c r="AK42">
        <v>665.36900000000003</v>
      </c>
    </row>
    <row r="43" spans="1:37" x14ac:dyDescent="0.25">
      <c r="A43" t="s">
        <v>39</v>
      </c>
      <c r="B43">
        <v>0</v>
      </c>
      <c r="C43">
        <v>1</v>
      </c>
      <c r="D43">
        <v>3</v>
      </c>
      <c r="E43">
        <v>250917</v>
      </c>
      <c r="N43">
        <v>2832.625</v>
      </c>
      <c r="O43">
        <f t="shared" si="0"/>
        <v>73.528055342044581</v>
      </c>
      <c r="P43">
        <f t="shared" si="1"/>
        <v>24.387701767870865</v>
      </c>
      <c r="Q43">
        <f t="shared" si="2"/>
        <v>2.0830130668716373</v>
      </c>
      <c r="R43">
        <f t="shared" si="3"/>
        <v>1.2298232129131438E-3</v>
      </c>
      <c r="S43">
        <v>114.44293478260875</v>
      </c>
      <c r="T43">
        <v>123.7327898550725</v>
      </c>
      <c r="U43">
        <v>170.52083333333337</v>
      </c>
      <c r="V43">
        <v>69.645833333333371</v>
      </c>
      <c r="W43">
        <v>2</v>
      </c>
      <c r="X43">
        <v>105</v>
      </c>
      <c r="Y43">
        <v>11</v>
      </c>
      <c r="Z43">
        <v>14</v>
      </c>
      <c r="AA43">
        <v>405</v>
      </c>
      <c r="AB43">
        <v>20</v>
      </c>
      <c r="AD43">
        <f t="shared" si="4"/>
        <v>759.5826777840731</v>
      </c>
      <c r="AE43">
        <f t="shared" si="5"/>
        <v>251.93751864733622</v>
      </c>
      <c r="AF43">
        <f t="shared" si="6"/>
        <v>21.518597708497161</v>
      </c>
      <c r="AG43">
        <v>478.3</v>
      </c>
      <c r="AH43">
        <v>158.642</v>
      </c>
      <c r="AI43">
        <v>13.55</v>
      </c>
      <c r="AJ43">
        <v>8.0000000000000002E-3</v>
      </c>
      <c r="AK43">
        <v>650.5</v>
      </c>
    </row>
    <row r="44" spans="1:37" x14ac:dyDescent="0.25">
      <c r="AD44">
        <f>AVERAGE(AD2:AD43)</f>
        <v>706.99418225030854</v>
      </c>
      <c r="AE44">
        <f>AVERAGE(AE2:AE43)</f>
        <v>149.64111402124894</v>
      </c>
      <c r="AF44">
        <f>AVERAGE(AF2:AF43)</f>
        <v>44.454302212939169</v>
      </c>
      <c r="AG44">
        <f t="shared" ref="AG44:AK44" si="18">AVERAGE(AG2:AG43)</f>
        <v>603.2008571428571</v>
      </c>
      <c r="AH44">
        <f t="shared" si="18"/>
        <v>132.37383333333329</v>
      </c>
      <c r="AI44">
        <f t="shared" si="18"/>
        <v>39.702333333333328</v>
      </c>
      <c r="AJ44">
        <f t="shared" si="18"/>
        <v>0.11633333333333327</v>
      </c>
      <c r="AK44">
        <f t="shared" si="18"/>
        <v>775.39340476190478</v>
      </c>
    </row>
    <row r="45" spans="1:37" x14ac:dyDescent="0.25">
      <c r="AG45">
        <f>AG44/60</f>
        <v>10.053347619047619</v>
      </c>
      <c r="AH45">
        <f t="shared" ref="AH45:AJ45" si="19">AH44/60</f>
        <v>2.206230555555555</v>
      </c>
      <c r="AI45">
        <f t="shared" si="19"/>
        <v>0.66170555555555544</v>
      </c>
      <c r="AJ45">
        <f t="shared" si="19"/>
        <v>1.938888888888888E-3</v>
      </c>
    </row>
    <row r="55" spans="14:37" ht="13.5" customHeight="1" x14ac:dyDescent="0.25">
      <c r="N55" s="7"/>
      <c r="S55" s="7"/>
      <c r="T55" s="7"/>
      <c r="U55" s="7"/>
      <c r="V55" s="7"/>
      <c r="X55" s="7"/>
      <c r="AG55" s="7"/>
      <c r="AH55" s="7"/>
      <c r="AI55" s="7"/>
      <c r="AK55" s="7"/>
    </row>
    <row r="56" spans="14:37" x14ac:dyDescent="0.25">
      <c r="N56" s="7"/>
      <c r="S56" s="7"/>
      <c r="T56" s="7"/>
      <c r="U56" s="7"/>
      <c r="V56" s="7"/>
      <c r="W56" s="7"/>
      <c r="X56" s="7"/>
      <c r="Y56" s="7"/>
      <c r="Z56" s="7"/>
      <c r="AG56" s="7"/>
      <c r="AH56" s="7"/>
      <c r="AI56" s="7"/>
      <c r="AK56" s="7"/>
    </row>
    <row r="57" spans="14:37" x14ac:dyDescent="0.25">
      <c r="N57" s="7"/>
      <c r="S57" s="7"/>
      <c r="T57" s="7"/>
      <c r="U57" s="7"/>
      <c r="V57" s="7"/>
      <c r="W57" s="7"/>
      <c r="X57" s="7"/>
      <c r="Y57" s="7"/>
      <c r="Z57" s="7"/>
      <c r="AG57" s="7"/>
      <c r="AH57" s="7"/>
      <c r="AI57" s="7"/>
      <c r="AK57" s="7"/>
    </row>
    <row r="58" spans="14:37" x14ac:dyDescent="0.25">
      <c r="N58" s="7"/>
      <c r="S58" s="7"/>
      <c r="T58" s="7"/>
      <c r="U58" s="7"/>
      <c r="V58" s="7"/>
      <c r="W58" s="7"/>
      <c r="X58" s="7"/>
      <c r="Y58" s="7"/>
      <c r="Z58" s="7"/>
      <c r="AG58" s="7"/>
      <c r="AH58" s="7"/>
      <c r="AI58" s="7"/>
      <c r="AK58" s="7"/>
    </row>
    <row r="59" spans="14:37" x14ac:dyDescent="0.25">
      <c r="N59" s="7"/>
      <c r="S59" s="7"/>
      <c r="T59" s="7"/>
      <c r="U59" s="7"/>
      <c r="V59" s="7"/>
      <c r="W59" s="7"/>
      <c r="X59" s="7"/>
      <c r="Y59" s="7"/>
      <c r="Z59" s="7"/>
      <c r="AG59" s="7"/>
      <c r="AH59" s="7"/>
      <c r="AI59" s="7"/>
      <c r="AK59" s="7"/>
    </row>
    <row r="60" spans="14:37" x14ac:dyDescent="0.25">
      <c r="N6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343E-F78D-48EF-B03D-4DF9244A6D25}">
  <dimension ref="A1:O23"/>
  <sheetViews>
    <sheetView workbookViewId="0">
      <selection activeCell="O20" sqref="O20"/>
    </sheetView>
  </sheetViews>
  <sheetFormatPr defaultRowHeight="15" x14ac:dyDescent="0.25"/>
  <sheetData>
    <row r="1" spans="1:12" x14ac:dyDescent="0.25">
      <c r="A1" t="s">
        <v>63</v>
      </c>
      <c r="B1" t="s">
        <v>74</v>
      </c>
      <c r="C1" t="s">
        <v>75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x14ac:dyDescent="0.25">
      <c r="A2" t="s">
        <v>16</v>
      </c>
      <c r="B2">
        <v>1</v>
      </c>
      <c r="C2">
        <v>1</v>
      </c>
      <c r="D2">
        <v>520.94229442055496</v>
      </c>
      <c r="E2">
        <v>470.38487386073899</v>
      </c>
      <c r="F2">
        <v>434.69876775558902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 x14ac:dyDescent="0.25">
      <c r="A3" t="s">
        <v>19</v>
      </c>
      <c r="B3">
        <v>0</v>
      </c>
      <c r="C3">
        <v>1</v>
      </c>
      <c r="D3">
        <v>494.49967253736298</v>
      </c>
      <c r="E3">
        <v>464.79146531962601</v>
      </c>
      <c r="F3">
        <v>474.94536190317001</v>
      </c>
      <c r="G3">
        <v>456.01591519055302</v>
      </c>
      <c r="H3">
        <v>454.42027501756502</v>
      </c>
      <c r="I3">
        <v>425.75990226337399</v>
      </c>
      <c r="J3">
        <v>425.57079735393597</v>
      </c>
      <c r="K3">
        <v>414.96834024204298</v>
      </c>
      <c r="L3">
        <v>397.98407367140402</v>
      </c>
    </row>
    <row r="4" spans="1:12" x14ac:dyDescent="0.25">
      <c r="A4" t="s">
        <v>20</v>
      </c>
      <c r="B4">
        <v>1</v>
      </c>
      <c r="C4">
        <v>11</v>
      </c>
      <c r="D4">
        <v>454.53059718200598</v>
      </c>
      <c r="E4">
        <v>385.45865210069098</v>
      </c>
      <c r="F4">
        <v>413.12946473257398</v>
      </c>
      <c r="G4">
        <v>423.51350308641997</v>
      </c>
      <c r="H4">
        <v>400.32265267994597</v>
      </c>
      <c r="I4">
        <v>393.704115853659</v>
      </c>
      <c r="J4">
        <v>395.40141633006903</v>
      </c>
      <c r="K4">
        <v>385.85996636139998</v>
      </c>
      <c r="L4">
        <v>393.93751558681203</v>
      </c>
    </row>
    <row r="5" spans="1:12" x14ac:dyDescent="0.25">
      <c r="A5" t="s">
        <v>22</v>
      </c>
      <c r="B5">
        <v>0</v>
      </c>
      <c r="C5">
        <v>11</v>
      </c>
      <c r="D5">
        <v>517.85110856209496</v>
      </c>
      <c r="E5">
        <v>505.45965455245101</v>
      </c>
      <c r="F5">
        <v>496.57008465355699</v>
      </c>
      <c r="G5">
        <v>488.80984794204301</v>
      </c>
      <c r="H5">
        <v>497.891291244071</v>
      </c>
      <c r="I5">
        <v>505.63354430379701</v>
      </c>
      <c r="J5">
        <v>488.52634967002098</v>
      </c>
      <c r="K5">
        <v>481.007162712629</v>
      </c>
      <c r="L5">
        <v>495.16501572327002</v>
      </c>
    </row>
    <row r="6" spans="1:12" x14ac:dyDescent="0.25">
      <c r="A6" t="s">
        <v>24</v>
      </c>
      <c r="B6">
        <v>1</v>
      </c>
      <c r="C6">
        <v>1</v>
      </c>
      <c r="D6">
        <v>506.237981571783</v>
      </c>
      <c r="E6">
        <v>514.83269124931201</v>
      </c>
      <c r="F6">
        <v>541.61210625480999</v>
      </c>
      <c r="G6">
        <v>523.95485350489503</v>
      </c>
      <c r="H6">
        <v>539.78619567280896</v>
      </c>
      <c r="I6">
        <v>541.74377752221403</v>
      </c>
      <c r="J6" t="s">
        <v>73</v>
      </c>
      <c r="K6" t="s">
        <v>73</v>
      </c>
      <c r="L6" t="s">
        <v>73</v>
      </c>
    </row>
    <row r="7" spans="1:12" x14ac:dyDescent="0.25">
      <c r="A7" t="s">
        <v>26</v>
      </c>
      <c r="B7">
        <v>0</v>
      </c>
      <c r="C7">
        <v>1</v>
      </c>
      <c r="D7">
        <v>551.06557929352903</v>
      </c>
      <c r="E7">
        <v>517.97335311070196</v>
      </c>
      <c r="F7">
        <v>520.20994394868603</v>
      </c>
      <c r="G7">
        <v>517.605163043478</v>
      </c>
      <c r="H7">
        <v>512.407853582195</v>
      </c>
      <c r="I7">
        <v>494.40107557051999</v>
      </c>
      <c r="J7">
        <v>488.71587255113798</v>
      </c>
      <c r="K7">
        <v>481.23252095642101</v>
      </c>
      <c r="L7">
        <v>486.04719242110502</v>
      </c>
    </row>
    <row r="8" spans="1:12" x14ac:dyDescent="0.25">
      <c r="A8" t="s">
        <v>27</v>
      </c>
      <c r="B8">
        <v>0</v>
      </c>
      <c r="C8">
        <v>11</v>
      </c>
      <c r="D8">
        <v>518.17889510716998</v>
      </c>
      <c r="E8">
        <v>437.40122091357699</v>
      </c>
      <c r="F8">
        <v>413.12880450757899</v>
      </c>
      <c r="G8">
        <v>419.20568415637899</v>
      </c>
      <c r="H8">
        <v>389.54431237218802</v>
      </c>
      <c r="I8">
        <v>394.55408135099901</v>
      </c>
      <c r="J8">
        <v>397.444846292948</v>
      </c>
      <c r="K8">
        <v>378.08114711934201</v>
      </c>
      <c r="L8">
        <v>377.08579545454501</v>
      </c>
    </row>
    <row r="9" spans="1:12" x14ac:dyDescent="0.25">
      <c r="A9" t="s">
        <v>28</v>
      </c>
      <c r="B9">
        <v>1</v>
      </c>
      <c r="C9">
        <v>11</v>
      </c>
      <c r="D9">
        <v>499.80134373973902</v>
      </c>
      <c r="E9">
        <v>479.62326384400802</v>
      </c>
      <c r="F9">
        <v>473.04128634844602</v>
      </c>
      <c r="G9">
        <v>459.353075802793</v>
      </c>
      <c r="H9">
        <v>454.998515002403</v>
      </c>
      <c r="I9">
        <v>447.49151234567898</v>
      </c>
      <c r="J9">
        <v>451.63139329806</v>
      </c>
      <c r="K9">
        <v>443.769136714936</v>
      </c>
      <c r="L9">
        <v>434.738758319091</v>
      </c>
    </row>
    <row r="10" spans="1:12" x14ac:dyDescent="0.25">
      <c r="A10" t="s">
        <v>29</v>
      </c>
      <c r="B10">
        <v>1</v>
      </c>
      <c r="C10">
        <v>1</v>
      </c>
      <c r="D10">
        <v>471.49356936573099</v>
      </c>
      <c r="E10">
        <v>425.01169590643298</v>
      </c>
      <c r="F10">
        <v>406.46904055677402</v>
      </c>
      <c r="G10">
        <v>423.21500274580598</v>
      </c>
      <c r="H10">
        <v>396.903887487151</v>
      </c>
      <c r="I10">
        <v>407.00258816173499</v>
      </c>
      <c r="J10">
        <v>409.12899454652199</v>
      </c>
      <c r="K10">
        <v>400.73799961751803</v>
      </c>
      <c r="L10">
        <v>409.68968180413998</v>
      </c>
    </row>
    <row r="11" spans="1:12" x14ac:dyDescent="0.25">
      <c r="A11" t="s">
        <v>31</v>
      </c>
      <c r="B11">
        <v>0</v>
      </c>
      <c r="C11">
        <v>11</v>
      </c>
      <c r="D11">
        <v>483.15825334086202</v>
      </c>
      <c r="E11">
        <v>471.58097257991199</v>
      </c>
      <c r="F11">
        <v>470.25922253870903</v>
      </c>
      <c r="G11">
        <v>465.79090927970799</v>
      </c>
      <c r="H11">
        <v>431.07993709550601</v>
      </c>
      <c r="I11">
        <v>425.72733469666002</v>
      </c>
      <c r="J11">
        <v>443.69631429395503</v>
      </c>
      <c r="K11">
        <v>434.49102132435502</v>
      </c>
      <c r="L11">
        <v>439.89829117735599</v>
      </c>
    </row>
    <row r="12" spans="1:12" x14ac:dyDescent="0.25">
      <c r="A12" t="s">
        <v>35</v>
      </c>
      <c r="B12">
        <v>0</v>
      </c>
      <c r="C12">
        <v>1</v>
      </c>
      <c r="D12">
        <v>513.24505333228501</v>
      </c>
      <c r="E12">
        <v>480.59949263544797</v>
      </c>
      <c r="F12">
        <v>468.81004149749202</v>
      </c>
      <c r="G12">
        <v>460.483361197357</v>
      </c>
      <c r="H12">
        <v>454.311611649376</v>
      </c>
      <c r="I12">
        <v>456.45439588143199</v>
      </c>
      <c r="J12">
        <v>471.96429507337501</v>
      </c>
      <c r="K12">
        <v>462.85628930817597</v>
      </c>
      <c r="L12">
        <v>439.40712624287499</v>
      </c>
    </row>
    <row r="13" spans="1:12" x14ac:dyDescent="0.25">
      <c r="A13" t="s">
        <v>37</v>
      </c>
      <c r="B13">
        <v>1</v>
      </c>
      <c r="C13">
        <v>1</v>
      </c>
      <c r="D13">
        <v>487.25105695250897</v>
      </c>
      <c r="E13">
        <v>462.63624765937999</v>
      </c>
      <c r="F13">
        <v>452.349474231079</v>
      </c>
      <c r="G13">
        <v>446.21425688089403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</row>
    <row r="14" spans="1:12" x14ac:dyDescent="0.25">
      <c r="A14" t="s">
        <v>38</v>
      </c>
      <c r="B14">
        <v>1</v>
      </c>
      <c r="C14">
        <v>11</v>
      </c>
      <c r="D14">
        <v>486.26195501339998</v>
      </c>
      <c r="E14">
        <v>476.96705246913598</v>
      </c>
      <c r="F14">
        <v>467.00749406190897</v>
      </c>
      <c r="G14">
        <v>484.178251274883</v>
      </c>
      <c r="H14">
        <v>444.69389302531198</v>
      </c>
      <c r="I14">
        <v>493.95292443064199</v>
      </c>
      <c r="J14">
        <v>476.08782991619597</v>
      </c>
      <c r="K14">
        <v>478.42829653357398</v>
      </c>
      <c r="L14">
        <v>481.03898643140002</v>
      </c>
    </row>
    <row r="15" spans="1:12" x14ac:dyDescent="0.25">
      <c r="A15" t="s">
        <v>39</v>
      </c>
      <c r="B15">
        <v>0</v>
      </c>
      <c r="C15">
        <v>1</v>
      </c>
      <c r="D15">
        <v>509.43833911265199</v>
      </c>
      <c r="E15">
        <v>447.170899757222</v>
      </c>
      <c r="F15">
        <v>413.00024933133898</v>
      </c>
      <c r="G15">
        <v>394.39956422721502</v>
      </c>
      <c r="H15">
        <v>385.649206349206</v>
      </c>
      <c r="I15">
        <v>408.32264207217702</v>
      </c>
      <c r="J15">
        <v>393.49660277862301</v>
      </c>
      <c r="K15">
        <v>394.19335722586999</v>
      </c>
      <c r="L15">
        <v>404.14715152936202</v>
      </c>
    </row>
    <row r="17" spans="1:15" x14ac:dyDescent="0.25">
      <c r="A17">
        <v>494.49967253736298</v>
      </c>
      <c r="B17">
        <v>520.94229442055496</v>
      </c>
      <c r="D17">
        <f>AVERAGEIF(B2:B15,0,D2:D15)</f>
        <v>512.49098589799371</v>
      </c>
      <c r="L17">
        <v>397.98407367140402</v>
      </c>
      <c r="M17">
        <v>393.93751558681203</v>
      </c>
      <c r="O17">
        <f>AVERAGE(L17:L23)</f>
        <v>434.24780660284529</v>
      </c>
    </row>
    <row r="18" spans="1:15" x14ac:dyDescent="0.25">
      <c r="A18">
        <v>517.85110856209496</v>
      </c>
      <c r="B18">
        <v>454.53059718200598</v>
      </c>
      <c r="D18">
        <f>STDEV(A17:A23)</f>
        <v>21.381714569451862</v>
      </c>
      <c r="L18">
        <v>495.16501572327002</v>
      </c>
      <c r="M18">
        <v>434.738758319091</v>
      </c>
      <c r="O18">
        <f>STDEV(L17:L23)</f>
        <v>44.611718516064407</v>
      </c>
    </row>
    <row r="19" spans="1:15" x14ac:dyDescent="0.25">
      <c r="A19">
        <v>551.06557929352903</v>
      </c>
      <c r="B19">
        <v>506.237981571783</v>
      </c>
      <c r="D19">
        <f>AVERAGEIF(B2:B15,1,D2:D15)</f>
        <v>489.50268546367471</v>
      </c>
      <c r="L19">
        <v>486.04719242110502</v>
      </c>
      <c r="M19">
        <v>409.68968180413998</v>
      </c>
      <c r="O19">
        <f>AVERAGE(M17:M23)</f>
        <v>429.85123553536073</v>
      </c>
    </row>
    <row r="20" spans="1:15" x14ac:dyDescent="0.25">
      <c r="A20">
        <v>518.17889510716998</v>
      </c>
      <c r="B20">
        <v>499.80134373973902</v>
      </c>
      <c r="D20">
        <f>STDEV(B17:B23)</f>
        <v>22.126638906110571</v>
      </c>
      <c r="L20">
        <v>377.08579545454501</v>
      </c>
      <c r="M20">
        <v>481.03898643140002</v>
      </c>
      <c r="O20">
        <f>STDEV(M17:M20)</f>
        <v>38.03663694455711</v>
      </c>
    </row>
    <row r="21" spans="1:15" x14ac:dyDescent="0.25">
      <c r="A21">
        <v>483.15825334086202</v>
      </c>
      <c r="B21">
        <v>471.49356936573099</v>
      </c>
      <c r="L21">
        <v>439.89829117735599</v>
      </c>
    </row>
    <row r="22" spans="1:15" x14ac:dyDescent="0.25">
      <c r="A22">
        <v>513.24505333228501</v>
      </c>
      <c r="B22">
        <v>487.25105695250897</v>
      </c>
      <c r="L22">
        <v>439.40712624287499</v>
      </c>
    </row>
    <row r="23" spans="1:15" x14ac:dyDescent="0.25">
      <c r="A23">
        <v>509.43833911265199</v>
      </c>
      <c r="B23">
        <v>486.26195501339998</v>
      </c>
      <c r="L23">
        <v>404.14715152936202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73DA-27A2-44BA-8DE2-4055DE71022B}">
  <dimension ref="A1:P26"/>
  <sheetViews>
    <sheetView workbookViewId="0">
      <selection activeCell="K18" sqref="K18"/>
    </sheetView>
  </sheetViews>
  <sheetFormatPr defaultRowHeight="15" x14ac:dyDescent="0.25"/>
  <sheetData>
    <row r="1" spans="1:12" x14ac:dyDescent="0.25">
      <c r="A1" t="s">
        <v>63</v>
      </c>
      <c r="B1" t="s">
        <v>74</v>
      </c>
      <c r="C1" t="s">
        <v>75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x14ac:dyDescent="0.25">
      <c r="A2" t="s">
        <v>16</v>
      </c>
      <c r="B2">
        <v>1</v>
      </c>
      <c r="C2">
        <v>1</v>
      </c>
      <c r="D2">
        <v>3.8888888888888902</v>
      </c>
      <c r="E2">
        <v>1.80555555555556</v>
      </c>
      <c r="F2">
        <v>1.94444444444444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 x14ac:dyDescent="0.25">
      <c r="A3" t="s">
        <v>19</v>
      </c>
      <c r="B3">
        <v>0</v>
      </c>
      <c r="C3">
        <v>1</v>
      </c>
      <c r="D3">
        <v>4.3055555555555598</v>
      </c>
      <c r="E3">
        <v>4.5833333333333304</v>
      </c>
      <c r="F3">
        <v>1.6666666666666701</v>
      </c>
      <c r="G3">
        <v>2.9166666666666701</v>
      </c>
      <c r="H3">
        <v>2.2222222222222201</v>
      </c>
      <c r="I3">
        <v>1.5277777777777799</v>
      </c>
      <c r="J3">
        <v>2.3611111111111098</v>
      </c>
      <c r="K3">
        <v>1.6666666666666701</v>
      </c>
      <c r="L3">
        <v>2.3611111111111098</v>
      </c>
    </row>
    <row r="4" spans="1:12" x14ac:dyDescent="0.25">
      <c r="A4" t="s">
        <v>20</v>
      </c>
      <c r="B4">
        <v>1</v>
      </c>
      <c r="C4">
        <v>11</v>
      </c>
      <c r="D4">
        <v>1.5277777777777799</v>
      </c>
      <c r="E4">
        <v>5</v>
      </c>
      <c r="F4">
        <v>2.6388888888888902</v>
      </c>
      <c r="G4">
        <v>2.3611111111111098</v>
      </c>
      <c r="H4">
        <v>2.7777777777777799</v>
      </c>
      <c r="I4">
        <v>3.0555555555555598</v>
      </c>
      <c r="J4">
        <v>2.9166666666666701</v>
      </c>
      <c r="K4">
        <v>2.3611111111111098</v>
      </c>
      <c r="L4">
        <v>2.5</v>
      </c>
    </row>
    <row r="5" spans="1:12" x14ac:dyDescent="0.25">
      <c r="A5" t="s">
        <v>22</v>
      </c>
      <c r="B5">
        <v>0</v>
      </c>
      <c r="C5">
        <v>11</v>
      </c>
      <c r="D5">
        <v>3.1944444444444402</v>
      </c>
      <c r="E5">
        <v>0.69444444444444497</v>
      </c>
      <c r="F5">
        <v>0.83333333333333304</v>
      </c>
      <c r="G5">
        <v>1.5277777777777799</v>
      </c>
      <c r="H5">
        <v>0.83333333333333304</v>
      </c>
      <c r="I5">
        <v>0.97222222222222199</v>
      </c>
      <c r="J5">
        <v>0.83333333333333304</v>
      </c>
      <c r="K5">
        <v>0.83333333333333304</v>
      </c>
      <c r="L5">
        <v>0.41666666666666702</v>
      </c>
    </row>
    <row r="6" spans="1:12" x14ac:dyDescent="0.25">
      <c r="A6" t="s">
        <v>24</v>
      </c>
      <c r="B6">
        <v>1</v>
      </c>
      <c r="C6">
        <v>1</v>
      </c>
      <c r="D6">
        <v>5</v>
      </c>
      <c r="E6">
        <v>1.80555555555556</v>
      </c>
      <c r="F6">
        <v>2.9166666666666701</v>
      </c>
      <c r="G6">
        <v>1.25</v>
      </c>
      <c r="H6">
        <v>1.6666666666666701</v>
      </c>
      <c r="I6">
        <v>0.69444444444444497</v>
      </c>
      <c r="J6" t="s">
        <v>73</v>
      </c>
      <c r="K6" t="s">
        <v>73</v>
      </c>
      <c r="L6" t="s">
        <v>73</v>
      </c>
    </row>
    <row r="7" spans="1:12" x14ac:dyDescent="0.25">
      <c r="A7" t="s">
        <v>26</v>
      </c>
      <c r="B7">
        <v>0</v>
      </c>
      <c r="C7">
        <v>1</v>
      </c>
      <c r="D7">
        <v>13.1944444444444</v>
      </c>
      <c r="E7">
        <v>3.1944444444444402</v>
      </c>
      <c r="F7">
        <v>3.1944444444444402</v>
      </c>
      <c r="G7">
        <v>2.2222222222222201</v>
      </c>
      <c r="H7">
        <v>2.0833333333333299</v>
      </c>
      <c r="I7">
        <v>2.0833333333333299</v>
      </c>
      <c r="J7">
        <v>2.7777777777777799</v>
      </c>
      <c r="K7">
        <v>2.0833333333333299</v>
      </c>
      <c r="L7">
        <v>2.3611111111111098</v>
      </c>
    </row>
    <row r="8" spans="1:12" x14ac:dyDescent="0.25">
      <c r="A8" t="s">
        <v>27</v>
      </c>
      <c r="B8">
        <v>0</v>
      </c>
      <c r="C8">
        <v>11</v>
      </c>
      <c r="D8">
        <v>2.5</v>
      </c>
      <c r="E8">
        <v>0.55555555555555602</v>
      </c>
      <c r="F8">
        <v>0.41666666666666702</v>
      </c>
      <c r="G8">
        <v>0.41666666666666702</v>
      </c>
      <c r="H8">
        <v>0.41666666666666702</v>
      </c>
      <c r="I8">
        <v>1.1111111111111101</v>
      </c>
      <c r="J8">
        <v>0.55555555555555602</v>
      </c>
      <c r="K8">
        <v>0.55555555555555602</v>
      </c>
      <c r="L8">
        <v>0.69444444444444497</v>
      </c>
    </row>
    <row r="9" spans="1:12" x14ac:dyDescent="0.25">
      <c r="A9" t="s">
        <v>28</v>
      </c>
      <c r="B9">
        <v>1</v>
      </c>
      <c r="C9">
        <v>11</v>
      </c>
      <c r="D9">
        <v>10.4166666666667</v>
      </c>
      <c r="E9">
        <v>3.3333333333333299</v>
      </c>
      <c r="F9">
        <v>1.3888888888888899</v>
      </c>
      <c r="G9">
        <v>1.6666666666666701</v>
      </c>
      <c r="H9">
        <v>1.25</v>
      </c>
      <c r="I9">
        <v>0.55555555555555602</v>
      </c>
      <c r="J9">
        <v>0.97222222222222199</v>
      </c>
      <c r="K9">
        <v>2.3611111111111098</v>
      </c>
      <c r="L9">
        <v>1.1111111111111101</v>
      </c>
    </row>
    <row r="10" spans="1:12" x14ac:dyDescent="0.25">
      <c r="A10" t="s">
        <v>29</v>
      </c>
      <c r="B10">
        <v>1</v>
      </c>
      <c r="C10">
        <v>1</v>
      </c>
      <c r="D10">
        <v>7.5</v>
      </c>
      <c r="E10">
        <v>4.7222222222222197</v>
      </c>
      <c r="F10">
        <v>5</v>
      </c>
      <c r="G10">
        <v>2.6388888888888902</v>
      </c>
      <c r="H10">
        <v>3.3333333333333299</v>
      </c>
      <c r="I10">
        <v>3.4722222222222201</v>
      </c>
      <c r="J10">
        <v>2.9166666666666701</v>
      </c>
      <c r="K10">
        <v>3.0555555555555598</v>
      </c>
      <c r="L10">
        <v>3.6111111111111098</v>
      </c>
    </row>
    <row r="11" spans="1:12" x14ac:dyDescent="0.25">
      <c r="A11" t="s">
        <v>31</v>
      </c>
      <c r="B11">
        <v>0</v>
      </c>
      <c r="C11">
        <v>11</v>
      </c>
      <c r="D11">
        <v>2.6388888888888902</v>
      </c>
      <c r="E11">
        <v>0.97222222222222199</v>
      </c>
      <c r="F11">
        <v>0.83333333333333304</v>
      </c>
      <c r="G11">
        <v>0.69444444444444497</v>
      </c>
      <c r="H11">
        <v>2.3611111111111098</v>
      </c>
      <c r="I11">
        <v>1.5277777777777799</v>
      </c>
      <c r="J11">
        <v>1.1111111111111101</v>
      </c>
      <c r="K11">
        <v>1.25</v>
      </c>
      <c r="L11">
        <v>0.83333333333333304</v>
      </c>
    </row>
    <row r="12" spans="1:12" x14ac:dyDescent="0.25">
      <c r="A12" t="s">
        <v>35</v>
      </c>
      <c r="B12">
        <v>0</v>
      </c>
      <c r="C12">
        <v>1</v>
      </c>
      <c r="D12">
        <v>4.0277777777777803</v>
      </c>
      <c r="E12">
        <v>1.5277777777777799</v>
      </c>
      <c r="F12">
        <v>1.5277777777777799</v>
      </c>
      <c r="G12">
        <v>1.5277777777777799</v>
      </c>
      <c r="H12">
        <v>1.6666666666666701</v>
      </c>
      <c r="I12">
        <v>1.3888888888888899</v>
      </c>
      <c r="J12">
        <v>0.83333333333333304</v>
      </c>
      <c r="K12">
        <v>1.1111111111111101</v>
      </c>
      <c r="L12">
        <v>1.3888888888888899</v>
      </c>
    </row>
    <row r="13" spans="1:12" x14ac:dyDescent="0.25">
      <c r="A13" t="s">
        <v>37</v>
      </c>
      <c r="B13">
        <v>1</v>
      </c>
      <c r="C13">
        <v>1</v>
      </c>
      <c r="D13">
        <v>7.0833333333333304</v>
      </c>
      <c r="E13">
        <v>3.0555555555555598</v>
      </c>
      <c r="F13">
        <v>1.80555555555556</v>
      </c>
      <c r="G13">
        <v>1.25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</row>
    <row r="14" spans="1:12" x14ac:dyDescent="0.25">
      <c r="A14" t="s">
        <v>38</v>
      </c>
      <c r="B14">
        <v>1</v>
      </c>
      <c r="C14">
        <v>11</v>
      </c>
      <c r="D14">
        <v>2.2222222222222201</v>
      </c>
      <c r="E14">
        <v>1.1111111111111101</v>
      </c>
      <c r="F14">
        <v>1.5277777777777799</v>
      </c>
      <c r="G14">
        <v>0.97222222222222199</v>
      </c>
      <c r="H14">
        <v>1.25</v>
      </c>
      <c r="I14">
        <v>0.13888888888888901</v>
      </c>
      <c r="J14">
        <v>1.1111111111111101</v>
      </c>
      <c r="K14">
        <v>0.83333333333333304</v>
      </c>
      <c r="L14">
        <v>0.69444444444444497</v>
      </c>
    </row>
    <row r="15" spans="1:12" x14ac:dyDescent="0.25">
      <c r="A15" t="s">
        <v>39</v>
      </c>
      <c r="B15">
        <v>0</v>
      </c>
      <c r="C15">
        <v>1</v>
      </c>
      <c r="D15">
        <v>4.3055555555555598</v>
      </c>
      <c r="E15">
        <v>4.5833333333333304</v>
      </c>
      <c r="F15">
        <v>5.6944444444444402</v>
      </c>
      <c r="G15">
        <v>5.9722222222222197</v>
      </c>
      <c r="H15">
        <v>4.5833333333333304</v>
      </c>
      <c r="I15">
        <v>3.8888888888888902</v>
      </c>
      <c r="J15">
        <v>5.9722222222222197</v>
      </c>
      <c r="K15">
        <v>6.25</v>
      </c>
      <c r="L15">
        <v>2.7777777777777799</v>
      </c>
    </row>
    <row r="20" spans="1:16" x14ac:dyDescent="0.25">
      <c r="A20">
        <v>4.3055555555555598</v>
      </c>
      <c r="B20">
        <v>3.8888888888888902</v>
      </c>
      <c r="D20">
        <f>AVERAGE(A20:A26)</f>
        <v>4.8809523809523752</v>
      </c>
      <c r="M20">
        <v>2.3611111111111098</v>
      </c>
      <c r="N20">
        <v>2.5</v>
      </c>
      <c r="P20">
        <f>AVERAGE(M20:M26)</f>
        <v>1.5476190476190477</v>
      </c>
    </row>
    <row r="21" spans="1:16" x14ac:dyDescent="0.25">
      <c r="A21">
        <v>3.1944444444444402</v>
      </c>
      <c r="B21">
        <v>1.5277777777777799</v>
      </c>
      <c r="D21">
        <f>STDEV(A20:A26)</f>
        <v>3.74264416710324</v>
      </c>
      <c r="M21">
        <v>0.41666666666666702</v>
      </c>
      <c r="N21">
        <v>1.1111111111111101</v>
      </c>
      <c r="P21">
        <f>STDEV(M20:M26)</f>
        <v>0.94685344805149618</v>
      </c>
    </row>
    <row r="22" spans="1:16" x14ac:dyDescent="0.25">
      <c r="A22">
        <v>13.1944444444444</v>
      </c>
      <c r="B22">
        <v>5</v>
      </c>
      <c r="D22">
        <f>AVERAGE(B20:B26)</f>
        <v>5.3769841269841319</v>
      </c>
      <c r="M22">
        <v>2.3611111111111098</v>
      </c>
      <c r="N22">
        <v>3.6111111111111098</v>
      </c>
      <c r="P22">
        <f>AVERAGE(N20:N23)</f>
        <v>1.9791666666666661</v>
      </c>
    </row>
    <row r="23" spans="1:16" x14ac:dyDescent="0.25">
      <c r="A23">
        <v>2.5</v>
      </c>
      <c r="B23">
        <v>10.4166666666667</v>
      </c>
      <c r="D23">
        <f>STDEV(B20:B26)</f>
        <v>3.1607668050652538</v>
      </c>
      <c r="M23">
        <v>0.69444444444444497</v>
      </c>
      <c r="N23">
        <v>0.69444444444444497</v>
      </c>
      <c r="P23">
        <f>STDEV(N20:N23)</f>
        <v>1.3339842161318431</v>
      </c>
    </row>
    <row r="24" spans="1:16" x14ac:dyDescent="0.25">
      <c r="A24">
        <v>2.6388888888888902</v>
      </c>
      <c r="B24">
        <v>7.5</v>
      </c>
      <c r="M24">
        <v>0.83333333333333304</v>
      </c>
    </row>
    <row r="25" spans="1:16" x14ac:dyDescent="0.25">
      <c r="A25">
        <v>4.0277777777777803</v>
      </c>
      <c r="B25">
        <v>7.0833333333333304</v>
      </c>
      <c r="M25">
        <v>1.3888888888888899</v>
      </c>
    </row>
    <row r="26" spans="1:16" x14ac:dyDescent="0.25">
      <c r="A26">
        <v>4.3055555555555598</v>
      </c>
      <c r="B26">
        <v>2.2222222222222201</v>
      </c>
      <c r="M26">
        <v>2.7777777777777799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1BDA-4431-4966-B02D-B6EC2DE378DB}">
  <dimension ref="A1:L15"/>
  <sheetViews>
    <sheetView workbookViewId="0">
      <selection activeCell="S13" sqref="S13"/>
    </sheetView>
  </sheetViews>
  <sheetFormatPr defaultRowHeight="15" x14ac:dyDescent="0.25"/>
  <sheetData>
    <row r="1" spans="1:12" x14ac:dyDescent="0.25">
      <c r="A1" t="s">
        <v>63</v>
      </c>
      <c r="B1" t="s">
        <v>74</v>
      </c>
      <c r="C1" t="s">
        <v>75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x14ac:dyDescent="0.25">
      <c r="A2" t="s">
        <v>16</v>
      </c>
      <c r="B2">
        <v>1</v>
      </c>
      <c r="C2">
        <v>1</v>
      </c>
      <c r="D2">
        <v>0.26113596328112998</v>
      </c>
      <c r="E2">
        <v>0.26039072453893403</v>
      </c>
      <c r="F2">
        <v>0.25973607927127801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 x14ac:dyDescent="0.25">
      <c r="A3" t="s">
        <v>19</v>
      </c>
      <c r="B3">
        <v>0</v>
      </c>
      <c r="C3">
        <v>1</v>
      </c>
      <c r="D3">
        <v>0.26346202649373401</v>
      </c>
      <c r="E3">
        <v>0.26440679966567399</v>
      </c>
      <c r="F3">
        <v>0.26487007685265701</v>
      </c>
      <c r="G3">
        <v>0.26651736296234102</v>
      </c>
      <c r="H3">
        <v>0.26877088485209899</v>
      </c>
      <c r="I3">
        <v>0.27184017441292702</v>
      </c>
      <c r="J3">
        <v>0.275664243687538</v>
      </c>
      <c r="K3">
        <v>0.27915480312804403</v>
      </c>
      <c r="L3">
        <v>0.28237151895137502</v>
      </c>
    </row>
    <row r="4" spans="1:12" x14ac:dyDescent="0.25">
      <c r="A4" t="s">
        <v>20</v>
      </c>
      <c r="B4">
        <v>1</v>
      </c>
      <c r="C4">
        <v>11</v>
      </c>
      <c r="D4">
        <v>0.17908669622159801</v>
      </c>
      <c r="E4">
        <v>0.233609765057361</v>
      </c>
      <c r="F4">
        <v>0.25435204333243</v>
      </c>
      <c r="G4">
        <v>0.25606813157696101</v>
      </c>
      <c r="H4">
        <v>0.25576537468752603</v>
      </c>
      <c r="I4">
        <v>0.26076076797665299</v>
      </c>
      <c r="J4">
        <v>0.25988953917373803</v>
      </c>
      <c r="K4">
        <v>0.26089160204306999</v>
      </c>
      <c r="L4">
        <v>0.25864173842588301</v>
      </c>
    </row>
    <row r="5" spans="1:12" x14ac:dyDescent="0.25">
      <c r="A5" t="s">
        <v>22</v>
      </c>
      <c r="B5">
        <v>0</v>
      </c>
      <c r="C5">
        <v>11</v>
      </c>
      <c r="D5">
        <v>0.25578629232192701</v>
      </c>
      <c r="E5">
        <v>0.257906811437288</v>
      </c>
      <c r="F5">
        <v>0.25931633189808101</v>
      </c>
      <c r="G5">
        <v>0.25969388684845002</v>
      </c>
      <c r="H5">
        <v>0.25894873580211603</v>
      </c>
      <c r="I5">
        <v>0.25780732728373601</v>
      </c>
      <c r="J5">
        <v>0.25670543920105199</v>
      </c>
      <c r="K5">
        <v>0.25528375457096403</v>
      </c>
      <c r="L5">
        <v>0.25381556391990401</v>
      </c>
    </row>
    <row r="6" spans="1:12" x14ac:dyDescent="0.25">
      <c r="A6" t="s">
        <v>24</v>
      </c>
      <c r="B6">
        <v>1</v>
      </c>
      <c r="C6">
        <v>1</v>
      </c>
      <c r="D6">
        <v>0.28089127432206701</v>
      </c>
      <c r="E6">
        <v>0.27906418787181198</v>
      </c>
      <c r="F6">
        <v>0.27727858053514898</v>
      </c>
      <c r="G6">
        <v>0.27555144918680002</v>
      </c>
      <c r="H6">
        <v>0.27387327948416101</v>
      </c>
      <c r="I6">
        <v>0.27215894262972001</v>
      </c>
      <c r="J6" t="s">
        <v>73</v>
      </c>
      <c r="K6" t="s">
        <v>73</v>
      </c>
      <c r="L6" t="s">
        <v>73</v>
      </c>
    </row>
    <row r="7" spans="1:12" x14ac:dyDescent="0.25">
      <c r="A7" t="s">
        <v>26</v>
      </c>
      <c r="B7">
        <v>0</v>
      </c>
      <c r="C7">
        <v>1</v>
      </c>
      <c r="D7">
        <v>0.26454689443548501</v>
      </c>
      <c r="E7">
        <v>0.26387743126036201</v>
      </c>
      <c r="F7">
        <v>0.26317354152371197</v>
      </c>
      <c r="G7">
        <v>0.26246755792145898</v>
      </c>
      <c r="H7">
        <v>0.26193539262244298</v>
      </c>
      <c r="I7">
        <v>0.26185829933407101</v>
      </c>
      <c r="J7">
        <v>0.26172726590359502</v>
      </c>
      <c r="K7">
        <v>0.261801841981191</v>
      </c>
      <c r="L7">
        <v>0.26171817858649499</v>
      </c>
    </row>
    <row r="8" spans="1:12" x14ac:dyDescent="0.25">
      <c r="A8" t="s">
        <v>27</v>
      </c>
      <c r="B8">
        <v>0</v>
      </c>
      <c r="C8">
        <v>11</v>
      </c>
      <c r="D8">
        <v>0.25319629604995703</v>
      </c>
      <c r="E8">
        <v>0.25298459799224898</v>
      </c>
      <c r="F8">
        <v>0.26514355898710001</v>
      </c>
      <c r="G8">
        <v>0.27766248795957399</v>
      </c>
      <c r="H8">
        <v>0.29500929312491198</v>
      </c>
      <c r="I8">
        <v>0.30336553867239402</v>
      </c>
      <c r="J8">
        <v>0.311193620465195</v>
      </c>
      <c r="K8">
        <v>0.32030334980111702</v>
      </c>
      <c r="L8">
        <v>0.327109375209852</v>
      </c>
    </row>
    <row r="9" spans="1:12" x14ac:dyDescent="0.25">
      <c r="A9" t="s">
        <v>28</v>
      </c>
      <c r="B9">
        <v>1</v>
      </c>
      <c r="C9">
        <v>11</v>
      </c>
      <c r="D9">
        <v>0.25595580700356602</v>
      </c>
      <c r="E9">
        <v>0.25474388826419597</v>
      </c>
      <c r="F9">
        <v>0.25352600607912501</v>
      </c>
      <c r="G9">
        <v>0.25394090231458399</v>
      </c>
      <c r="H9">
        <v>0.254780049552709</v>
      </c>
      <c r="I9">
        <v>0.25605578302306797</v>
      </c>
      <c r="J9">
        <v>0.25822300012688099</v>
      </c>
      <c r="K9">
        <v>0.26069633784137097</v>
      </c>
      <c r="L9">
        <v>0.26508129082618698</v>
      </c>
    </row>
    <row r="10" spans="1:12" x14ac:dyDescent="0.25">
      <c r="A10" t="s">
        <v>29</v>
      </c>
      <c r="B10">
        <v>1</v>
      </c>
      <c r="C10">
        <v>1</v>
      </c>
      <c r="D10">
        <v>0.25590693724685598</v>
      </c>
      <c r="E10">
        <v>0.25583239188474699</v>
      </c>
      <c r="F10">
        <v>0.25653673898275198</v>
      </c>
      <c r="G10">
        <v>0.25660162294811301</v>
      </c>
      <c r="H10">
        <v>0.257933429663531</v>
      </c>
      <c r="I10">
        <v>0.25949651023989601</v>
      </c>
      <c r="J10">
        <v>0.260679010304951</v>
      </c>
      <c r="K10">
        <v>0.26145753403502398</v>
      </c>
      <c r="L10">
        <v>0.26231682065115502</v>
      </c>
    </row>
    <row r="11" spans="1:12" x14ac:dyDescent="0.25">
      <c r="A11" t="s">
        <v>31</v>
      </c>
      <c r="B11">
        <v>0</v>
      </c>
      <c r="C11">
        <v>11</v>
      </c>
      <c r="D11">
        <v>0.24846340160876601</v>
      </c>
      <c r="E11">
        <v>0.24839462784333399</v>
      </c>
      <c r="F11">
        <v>0.248565354472436</v>
      </c>
      <c r="G11">
        <v>0.24890865061761999</v>
      </c>
      <c r="H11">
        <v>0.25040949504075899</v>
      </c>
      <c r="I11">
        <v>0.25216645768574802</v>
      </c>
      <c r="J11">
        <v>0.25376481557229202</v>
      </c>
      <c r="K11">
        <v>0.25549415833051597</v>
      </c>
      <c r="L11">
        <v>0.25715894395058703</v>
      </c>
    </row>
    <row r="12" spans="1:12" x14ac:dyDescent="0.25">
      <c r="A12" t="s">
        <v>35</v>
      </c>
      <c r="B12">
        <v>0</v>
      </c>
      <c r="C12">
        <v>1</v>
      </c>
      <c r="D12">
        <v>0.27107116711023599</v>
      </c>
      <c r="E12">
        <v>0.26977968734345498</v>
      </c>
      <c r="F12">
        <v>0.26881190028997298</v>
      </c>
      <c r="G12">
        <v>0.26803551593805303</v>
      </c>
      <c r="H12">
        <v>0.26724887946012899</v>
      </c>
      <c r="I12">
        <v>0.266695144347882</v>
      </c>
      <c r="J12">
        <v>0.26623932205575901</v>
      </c>
      <c r="K12">
        <v>0.26562738254729701</v>
      </c>
      <c r="L12">
        <v>0.26533158294020098</v>
      </c>
    </row>
    <row r="13" spans="1:12" x14ac:dyDescent="0.25">
      <c r="A13" t="s">
        <v>37</v>
      </c>
      <c r="B13">
        <v>1</v>
      </c>
      <c r="C13">
        <v>1</v>
      </c>
      <c r="D13">
        <v>0.25469623334435398</v>
      </c>
      <c r="E13">
        <v>0.25585089512350001</v>
      </c>
      <c r="F13">
        <v>0.256862835611253</v>
      </c>
      <c r="G13">
        <v>0.25722310727174902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</row>
    <row r="14" spans="1:12" x14ac:dyDescent="0.25">
      <c r="A14" t="s">
        <v>38</v>
      </c>
      <c r="B14">
        <v>1</v>
      </c>
      <c r="C14">
        <v>11</v>
      </c>
      <c r="D14">
        <v>0.31659794615702402</v>
      </c>
      <c r="E14">
        <v>0.30634668086369998</v>
      </c>
      <c r="F14">
        <v>0.297064711514053</v>
      </c>
      <c r="G14">
        <v>0.288225431866453</v>
      </c>
      <c r="H14">
        <v>0.28107345767407899</v>
      </c>
      <c r="I14">
        <v>0.273645116034336</v>
      </c>
      <c r="J14">
        <v>0.26688463749272601</v>
      </c>
      <c r="K14">
        <v>0.26030522579750798</v>
      </c>
      <c r="L14">
        <v>0.25403251027317902</v>
      </c>
    </row>
    <row r="15" spans="1:12" x14ac:dyDescent="0.25">
      <c r="A15" t="s">
        <v>39</v>
      </c>
      <c r="B15">
        <v>0</v>
      </c>
      <c r="C15">
        <v>1</v>
      </c>
      <c r="D15">
        <v>0.26231407166818499</v>
      </c>
      <c r="E15">
        <v>0.25995387228463401</v>
      </c>
      <c r="F15">
        <v>0.25792792986241098</v>
      </c>
      <c r="G15">
        <v>0.25654151965112998</v>
      </c>
      <c r="H15">
        <v>0.25509633008987997</v>
      </c>
      <c r="I15">
        <v>0.25322914204184599</v>
      </c>
      <c r="J15">
        <v>0.251682588062838</v>
      </c>
      <c r="K15">
        <v>0.25009544446189003</v>
      </c>
      <c r="L15">
        <v>0.24845322609961101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74DF-7EE9-474B-8102-F072599DE3FB}">
  <dimension ref="A1:M9"/>
  <sheetViews>
    <sheetView workbookViewId="0"/>
  </sheetViews>
  <sheetFormatPr defaultRowHeight="15" x14ac:dyDescent="0.25"/>
  <sheetData>
    <row r="1" spans="1:13" x14ac:dyDescent="0.25">
      <c r="A1" t="s">
        <v>45</v>
      </c>
      <c r="C1" t="s">
        <v>46</v>
      </c>
    </row>
    <row r="2" spans="1:13" x14ac:dyDescent="0.25">
      <c r="A2" t="s">
        <v>47</v>
      </c>
      <c r="B2" t="s">
        <v>48</v>
      </c>
      <c r="C2" t="s">
        <v>49</v>
      </c>
      <c r="D2" t="s">
        <v>50</v>
      </c>
      <c r="E2" t="s">
        <v>40</v>
      </c>
      <c r="F2" t="s">
        <v>42</v>
      </c>
      <c r="G2" t="s">
        <v>41</v>
      </c>
      <c r="H2" t="s">
        <v>43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25">
      <c r="A3">
        <v>0</v>
      </c>
      <c r="B3">
        <v>1</v>
      </c>
      <c r="C3">
        <f>AVERAGEIFS(Main!N2:N43,Main!B2:B43,"=0",Main!D2:D43,"=1")</f>
        <v>7727.8197278911557</v>
      </c>
      <c r="D3" t="e">
        <f>AVERAGEIFS(Main!#REF!,Main!B2:B43,"=0",Main!D2:D43,"=1")</f>
        <v>#REF!</v>
      </c>
      <c r="E3" s="6">
        <f>AVERAGEIFS(Main!S2:S43,Main!B2:B43,"=0",Main!D2:D43,"=1")</f>
        <v>187.85922333360227</v>
      </c>
      <c r="F3" s="6">
        <f>AVERAGEIFS(Main!T2:T43,Main!B2:B43,"=0",Main!D2:D43,"=1")</f>
        <v>220.08976970234735</v>
      </c>
      <c r="G3" s="6">
        <f>AVERAGEIFS(Main!U2:U43,Main!B2:B43,"=0",Main!D2:D43,"=1")</f>
        <v>210.27378599661213</v>
      </c>
      <c r="H3" s="6">
        <f>AVERAGEIFS(Main!V2:V43,Main!B2:B43,"=0",Main!D2:D43,"=1")</f>
        <v>363.49237382700124</v>
      </c>
      <c r="I3" s="6">
        <f>AVERAGEIFS(Main!AA2:AA43,Main!B2:B43,"=0",Main!D2:D43,"=1")</f>
        <v>418.92857142857144</v>
      </c>
      <c r="J3" s="6">
        <f>AVERAGEIFS(Main!AB2:AB43,Main!B2:B43,"=0",Main!D2:D43,"=1")</f>
        <v>28.428571428571427</v>
      </c>
      <c r="K3" s="6">
        <f>AVERAGEIFS(Main!X2:X43,Main!B2:B43,"=0",Main!D2:D43,"=1")</f>
        <v>103.57142857142857</v>
      </c>
      <c r="L3" s="6">
        <f>AVERAGEIFS(Main!Y2:Y43,Main!B2:B43,"=0",Main!D2:D43,"=1")</f>
        <v>10.571428571428571</v>
      </c>
      <c r="M3" s="6">
        <f>AVERAGEIFS(Main!W2:W43,Main!B2:B43,"=0",Main!D2:D43,"=1")</f>
        <v>1.6428571428571428</v>
      </c>
    </row>
    <row r="4" spans="1:13" x14ac:dyDescent="0.25">
      <c r="B4">
        <v>2</v>
      </c>
      <c r="C4">
        <f>AVERAGEIFS(Main!N2:N43,Main!B2:B43,"=0",Main!D2:D43,"=2")</f>
        <v>8932.6862244897948</v>
      </c>
      <c r="D4" t="e">
        <f>AVERAGEIFS(Main!#REF!,Main!B2:B43,"=0",Main!D2:D43,"=2")</f>
        <v>#REF!</v>
      </c>
      <c r="E4" s="6">
        <f>AVERAGEIFS(Main!S2:S43,Main!B2:B43,"=0",Main!D2:D43,"=2")</f>
        <v>187.40037912398162</v>
      </c>
      <c r="F4" s="6">
        <f>AVERAGEIFS(Main!T2:T43,Main!B2:B43,"=0",Main!D2:D43,"=2")</f>
        <v>239.79176749751286</v>
      </c>
      <c r="G4" s="6">
        <f>AVERAGEIFS(Main!U2:U43,Main!B2:B43,"=0",Main!D2:D43,"=2")</f>
        <v>37.794887539996303</v>
      </c>
      <c r="H4" s="6">
        <f>AVERAGEIFS(Main!V2:V43,Main!B2:B43,"=0",Main!D2:D43,"=2")</f>
        <v>74.974470638057667</v>
      </c>
      <c r="I4" s="6">
        <f>AVERAGEIFS(Main!AA2:AA43,Main!B2:B43,"=0",Main!D2:D43,"=2")</f>
        <v>439.28571428571428</v>
      </c>
      <c r="J4" s="6">
        <f>AVERAGEIFS(Main!AB2:AB43,Main!B2:B43,"=0",Main!D2:D43,"=2")</f>
        <v>29.142857142857142</v>
      </c>
      <c r="K4" s="6">
        <f>AVERAGEIFS(Main!X2:X43,Main!B2:B43,"=0",Main!D2:D43,"=2")</f>
        <v>104.14285714285714</v>
      </c>
      <c r="L4" s="6">
        <f>AVERAGEIFS(Main!Y2:Y43,Main!B2:B43,"=0",Main!D2:D43,"=2")</f>
        <v>10.857142857142858</v>
      </c>
      <c r="M4" s="6">
        <f>AVERAGEIFS(Main!W2:W43,Main!B2:B43,"=0",Main!D2:D43,"=2")</f>
        <v>1.7142857142857142</v>
      </c>
    </row>
    <row r="5" spans="1:13" x14ac:dyDescent="0.25">
      <c r="B5">
        <v>3</v>
      </c>
      <c r="C5">
        <f>AVERAGEIFS(Main!N2:N43,Main!B2:B43,"=0",Main!D2:D43,"=3")</f>
        <v>6209.091836734694</v>
      </c>
      <c r="D5" t="e">
        <f>AVERAGEIFS(Main!#REF!,Main!B2:B43,"=0",Main!D2:D43,"=3")</f>
        <v>#REF!</v>
      </c>
      <c r="E5" s="6">
        <f>AVERAGEIFS(Main!S2:S43,Main!B2:B43,"=0",Main!D2:D43,"=3")</f>
        <v>126.72639045736879</v>
      </c>
      <c r="F5" s="6">
        <f>AVERAGEIFS(Main!T2:T43,Main!B2:B43,"=0",Main!D2:D43,"=3")</f>
        <v>88.326401212659036</v>
      </c>
      <c r="G5" s="6">
        <f>AVERAGEIFS(Main!U2:U43,Main!B2:B43,"=0",Main!D2:D43,"=3")</f>
        <v>114.62180030114813</v>
      </c>
      <c r="H5" s="6">
        <f>AVERAGEIFS(Main!V2:V43,Main!B2:B43,"=0",Main!D2:D43,"=3")</f>
        <v>104.5952380952381</v>
      </c>
      <c r="I5" s="6">
        <f>AVERAGEIFS(Main!AA2:AA43,Main!B2:B43,"=0",Main!D2:D43,"=3")</f>
        <v>458.57142857142856</v>
      </c>
      <c r="J5" s="6">
        <f>AVERAGEIFS(Main!AB2:AB43,Main!B2:B43,"=0",Main!D2:D43,"=3")</f>
        <v>31.285714285714285</v>
      </c>
      <c r="K5" s="6">
        <f>AVERAGEIFS(Main!X2:X43,Main!B2:B43,"=0",Main!D2:D43,"=3")</f>
        <v>106</v>
      </c>
      <c r="L5" s="6">
        <f>AVERAGEIFS(Main!Y2:Y43,Main!B2:B43,"=0",Main!D2:D43,"=3")</f>
        <v>11.571428571428571</v>
      </c>
      <c r="M5" s="6">
        <f>AVERAGEIFS(Main!W2:W43,Main!B2:B43,"=0",Main!D2:D43,"=3")</f>
        <v>1.6785714285714286</v>
      </c>
    </row>
    <row r="6" spans="1:13" x14ac:dyDescent="0.25"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>
        <v>1</v>
      </c>
      <c r="B7">
        <v>1</v>
      </c>
      <c r="C7">
        <f>AVERAGEIFS(Main!N2:N43,Main!B2:B43,"=1",Main!D2:D43,"=1")</f>
        <v>4993.6130952380945</v>
      </c>
      <c r="D7" t="e">
        <f>AVERAGEIFS(Main!#REF!,Main!B2:B43,"=1",Main!D2:D43,"=1")</f>
        <v>#REF!</v>
      </c>
      <c r="E7" s="6" t="e">
        <f>AVERAGEIFS(Main!AG44:AG45,Main!B5:B45,"=1",Main!D5:D45,"=1")</f>
        <v>#VALUE!</v>
      </c>
      <c r="F7" s="6" t="e">
        <f>AVERAGEIFS(Main!AH44:AH45,Main!B5:B45,"=1",Main!D5:D45,"=1")</f>
        <v>#VALUE!</v>
      </c>
      <c r="G7" s="6" t="e">
        <f>AVERAGEIFS(Main!AI44:AI45,Main!B5:B45,"=1",Main!D5:D45,"=1")</f>
        <v>#VALUE!</v>
      </c>
      <c r="H7" s="6" t="e">
        <f>AVERAGEIFS(Main!AJ44:AJ45,Main!B5:B45,"=1",Main!D5:D45,"=1")</f>
        <v>#VALUE!</v>
      </c>
      <c r="I7" s="6">
        <f>AVERAGEIFS(Main!V5:V45,Main!B5:B45,"=1",Main!D5:D45,"=1")</f>
        <v>145.42978700043918</v>
      </c>
      <c r="J7" s="6">
        <f>AVERAGEIFS(Main!X5:X45,Main!B5:B45,"=1",Main!D5:D45,"=1")</f>
        <v>102.33333333333333</v>
      </c>
      <c r="K7" s="6" t="e">
        <f>AVERAGEIFS(Main!AK44:AK45,Main!B5:B45,"=1",Main!D5:D45,"=1")</f>
        <v>#VALUE!</v>
      </c>
      <c r="L7" s="6">
        <f>AVERAGEIFS(Main!S5:S45,Main!B5:B45,"=1",Main!D5:D45,"=1")</f>
        <v>44.402269982432948</v>
      </c>
      <c r="M7" s="6">
        <f>AVERAGEIFS(Main!U5:U45,Main!B5:B45,"=1",Main!D5:D45,"=1")</f>
        <v>195.25255270092222</v>
      </c>
    </row>
    <row r="8" spans="1:13" x14ac:dyDescent="0.25">
      <c r="B8">
        <v>2</v>
      </c>
      <c r="C8">
        <f>AVERAGEIFS(Main!N2:N43,Main!B2:B43,"=1",Main!D2:D43,"=2")</f>
        <v>5108.4209183673465</v>
      </c>
      <c r="D8" t="e">
        <f>AVERAGEIFS(Main!#REF!,Main!B2:B43,"=1",Main!D2:D43,"=2")</f>
        <v>#REF!</v>
      </c>
      <c r="E8" s="6" t="e">
        <f>AVERAGEIFS(Main!AG44:AG45,Main!B5:B45,"=1",Main!D5:D45,"=2")</f>
        <v>#VALUE!</v>
      </c>
      <c r="F8" s="6" t="e">
        <f>AVERAGEIFS(Main!AH44:AH45,Main!B5:B45,"=1",Main!D5:D45,"=2")</f>
        <v>#VALUE!</v>
      </c>
      <c r="G8" s="6" t="e">
        <f>AVERAGEIFS(Main!AI44:AI45,Main!B5:B45,"=1",Main!D5:D45,"=2")</f>
        <v>#VALUE!</v>
      </c>
      <c r="H8" s="6" t="e">
        <f>AVERAGEIFS(Main!AJ44:AJ45,Main!B5:B45,"=1",Main!D5:D45,"=2")</f>
        <v>#VALUE!</v>
      </c>
      <c r="I8" s="6">
        <f>AVERAGEIFS(Main!V5:V45,Main!B5:B45,"=1",Main!D5:D45,"=2")</f>
        <v>12.541817632850249</v>
      </c>
      <c r="J8" s="6">
        <f>AVERAGEIFS(Main!X5:X45,Main!B5:B45,"=1",Main!D5:D45,"=2")</f>
        <v>104</v>
      </c>
      <c r="K8" s="6" t="e">
        <f>AVERAGEIFS(Main!AK44:AK45,Main!B5:B45,"=1",Main!D5:D45,"=2")</f>
        <v>#VALUE!</v>
      </c>
      <c r="L8" s="6">
        <f>AVERAGEIFS(Main!S5:S45,Main!B5:B45,"=1",Main!D5:D45,"=2")</f>
        <v>19.986369241372454</v>
      </c>
      <c r="M8" s="6">
        <f>AVERAGEIFS(Main!U5:U45,Main!B5:B45,"=1",Main!D5:D45,"=2")</f>
        <v>43.737167874396107</v>
      </c>
    </row>
    <row r="9" spans="1:13" x14ac:dyDescent="0.25">
      <c r="B9">
        <v>3</v>
      </c>
      <c r="C9">
        <f>AVERAGEIFS(Main!N2:N43,Main!B2:B43,"=1",Main!D2:D43,"=3")</f>
        <v>4854.7715419501128</v>
      </c>
      <c r="D9" t="e">
        <f>AVERAGEIFS(Main!#REF!,Main!B2:B43,"=1",Main!D2:D43,"=3")</f>
        <v>#REF!</v>
      </c>
      <c r="E9" s="6" t="e">
        <f>AVERAGEIFS(Main!AG44:AG45,Main!B5:B45,"=1",Main!D5:D45,"=3")</f>
        <v>#VALUE!</v>
      </c>
      <c r="F9" s="6" t="e">
        <f>AVERAGEIFS(Main!AH44:AH45,Main!B5:B45,"=1",Main!D5:D45,"=3")</f>
        <v>#VALUE!</v>
      </c>
      <c r="G9" s="6" t="e">
        <f>AVERAGEIFS(Main!AI44:AI45,Main!B5:B45,"=1",Main!D5:D45,"=3")</f>
        <v>#VALUE!</v>
      </c>
      <c r="H9" s="6" t="e">
        <f>AVERAGEIFS(Main!AJ44:AJ45,Main!B5:B45,"=1",Main!D5:D45,"=3")</f>
        <v>#VALUE!</v>
      </c>
      <c r="I9" s="6">
        <f>AVERAGEIFS(Main!V5:V45,Main!B5:B45,"=1",Main!D5:D45,"=3")</f>
        <v>0.82099527887572776</v>
      </c>
      <c r="J9" s="6">
        <f>AVERAGEIFS(Main!X5:X45,Main!B5:B45,"=1",Main!D5:D45,"=3")</f>
        <v>102.66666666666667</v>
      </c>
      <c r="K9" s="6" t="e">
        <f>AVERAGEIFS(Main!AK44:AK45,Main!B5:B45,"=1",Main!D5:D45,"=3")</f>
        <v>#VALUE!</v>
      </c>
      <c r="L9" s="6">
        <f>AVERAGEIFS(Main!S5:S45,Main!B5:B45,"=1",Main!D5:D45,"=3")</f>
        <v>-138.85729578392616</v>
      </c>
      <c r="M9" s="6">
        <f>AVERAGEIFS(Main!U5:U45,Main!B5:B45,"=0",Main!D5:D45,"=3")</f>
        <v>114.62180030114813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5260-0A8D-4B35-8F27-FC4155671839}">
  <dimension ref="A1:L6"/>
  <sheetViews>
    <sheetView workbookViewId="0">
      <selection sqref="A1:L6"/>
    </sheetView>
  </sheetViews>
  <sheetFormatPr defaultRowHeight="15" x14ac:dyDescent="0.25"/>
  <sheetData>
    <row r="1" spans="1:12" x14ac:dyDescent="0.25">
      <c r="B1" t="s">
        <v>51</v>
      </c>
    </row>
    <row r="2" spans="1:12" x14ac:dyDescent="0.25">
      <c r="A2" t="s">
        <v>47</v>
      </c>
      <c r="B2" t="s">
        <v>49</v>
      </c>
      <c r="C2" t="s">
        <v>50</v>
      </c>
      <c r="D2" t="s">
        <v>40</v>
      </c>
      <c r="E2" t="s">
        <v>42</v>
      </c>
      <c r="F2" t="s">
        <v>41</v>
      </c>
      <c r="G2" t="s">
        <v>43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5">
      <c r="A3">
        <v>0</v>
      </c>
      <c r="B3">
        <f>Sheet2!C4-Sheet2!C3</f>
        <v>1204.8664965986391</v>
      </c>
      <c r="C3" t="e">
        <f>Sheet2!D4-Sheet2!D3</f>
        <v>#REF!</v>
      </c>
      <c r="D3">
        <f>Sheet2!E4-Sheet2!E3</f>
        <v>-0.45884420962065064</v>
      </c>
      <c r="E3">
        <f>Sheet2!F4-Sheet2!F3</f>
        <v>19.701997795165511</v>
      </c>
      <c r="F3">
        <f>Sheet2!G4-Sheet2!G3</f>
        <v>-172.47889845661584</v>
      </c>
      <c r="G3">
        <f>Sheet2!H4-Sheet2!H3</f>
        <v>-288.51790318894359</v>
      </c>
      <c r="H3">
        <f>Sheet2!I4-Sheet2!I3</f>
        <v>20.357142857142833</v>
      </c>
      <c r="I3">
        <f>Sheet2!J4-Sheet2!J3</f>
        <v>0.7142857142857153</v>
      </c>
      <c r="J3">
        <f>Sheet2!K4-Sheet2!K3</f>
        <v>0.5714285714285694</v>
      </c>
      <c r="K3">
        <f>Sheet2!L4-Sheet2!L3</f>
        <v>0.28571428571428648</v>
      </c>
      <c r="L3">
        <f>Sheet2!M4-Sheet2!M3</f>
        <v>7.1428571428571397E-2</v>
      </c>
    </row>
    <row r="4" spans="1:12" x14ac:dyDescent="0.25">
      <c r="A4">
        <v>1</v>
      </c>
      <c r="B4">
        <f>Sheet2!C8-Sheet2!C7</f>
        <v>114.80782312925203</v>
      </c>
      <c r="C4" t="e">
        <f>Sheet2!D8-Sheet2!D7</f>
        <v>#REF!</v>
      </c>
      <c r="D4" t="e">
        <f>Sheet2!E8-Sheet2!E7</f>
        <v>#VALUE!</v>
      </c>
      <c r="E4" t="e">
        <f>Sheet2!F8-Sheet2!F7</f>
        <v>#VALUE!</v>
      </c>
      <c r="F4" t="e">
        <f>Sheet2!G8-Sheet2!G7</f>
        <v>#VALUE!</v>
      </c>
      <c r="G4" t="e">
        <f>Sheet2!H8-Sheet2!H7</f>
        <v>#VALUE!</v>
      </c>
      <c r="H4">
        <f>Sheet2!I8-Sheet2!I7</f>
        <v>-132.88796936758894</v>
      </c>
      <c r="I4">
        <f>Sheet2!J8-Sheet2!J7</f>
        <v>1.6666666666666714</v>
      </c>
      <c r="J4" t="e">
        <f>Sheet2!K8-Sheet2!K7</f>
        <v>#VALUE!</v>
      </c>
      <c r="K4">
        <f>Sheet2!L8-Sheet2!L7</f>
        <v>-24.415900741060494</v>
      </c>
      <c r="L4">
        <f>Sheet2!M8-Sheet2!M7</f>
        <v>-151.51538482652612</v>
      </c>
    </row>
    <row r="6" spans="1:12" ht="120" x14ac:dyDescent="0.25">
      <c r="B6" s="7" t="s">
        <v>52</v>
      </c>
      <c r="C6" s="7" t="s">
        <v>53</v>
      </c>
      <c r="D6" s="7" t="s">
        <v>54</v>
      </c>
      <c r="E6" s="7" t="s">
        <v>55</v>
      </c>
      <c r="F6" s="7" t="s">
        <v>56</v>
      </c>
      <c r="G6" s="7" t="s">
        <v>57</v>
      </c>
      <c r="H6" s="7" t="s">
        <v>58</v>
      </c>
      <c r="I6" s="7" t="s">
        <v>59</v>
      </c>
      <c r="J6" s="7" t="s">
        <v>60</v>
      </c>
      <c r="K6" s="7" t="s">
        <v>61</v>
      </c>
      <c r="L6" s="7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E84945309DE448C30F0A1AC4AD602" ma:contentTypeVersion="6" ma:contentTypeDescription="Create a new document." ma:contentTypeScope="" ma:versionID="9e2d0e956c58e8f771f13131119ad52b">
  <xsd:schema xmlns:xsd="http://www.w3.org/2001/XMLSchema" xmlns:xs="http://www.w3.org/2001/XMLSchema" xmlns:p="http://schemas.microsoft.com/office/2006/metadata/properties" xmlns:ns3="734d12ae-bbc6-439f-a024-9311d449f037" targetNamespace="http://schemas.microsoft.com/office/2006/metadata/properties" ma:root="true" ma:fieldsID="eeb5048661f71b2fd1f7a916a0945885" ns3:_="">
    <xsd:import namespace="734d12ae-bbc6-439f-a024-9311d449f0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12ae-bbc6-439f-a024-9311d449f0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4d12ae-bbc6-439f-a024-9311d449f0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CBC0B6-E91B-43ED-8F14-CCD70AD59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12ae-bbc6-439f-a024-9311d449f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18B6A2-570A-4BD1-9585-F2037454FE3E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734d12ae-bbc6-439f-a024-9311d449f03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706742-2D9D-4D98-B5F5-1E0DA8EBB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JOGGNGRT</vt:lpstr>
      <vt:lpstr>JOGGNGError</vt:lpstr>
      <vt:lpstr>JOGGNGSpeed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Kayne Park</dc:creator>
  <cp:keywords/>
  <dc:description/>
  <cp:lastModifiedBy>Kayne Park</cp:lastModifiedBy>
  <cp:revision/>
  <dcterms:created xsi:type="dcterms:W3CDTF">2024-10-29T19:58:11Z</dcterms:created>
  <dcterms:modified xsi:type="dcterms:W3CDTF">2026-04-07T18:20:58Z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0x0101001DDE84945309DE448C30F0A1AC4AD602</vt:lpwstr>
  </property>
</Properties>
</file>