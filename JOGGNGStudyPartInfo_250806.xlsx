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78c20514f36958/KayneWork/OttawaPostDoc/JOGGNGPaper/scripts/"/>
    </mc:Choice>
  </mc:AlternateContent>
  <xr:revisionPtr revIDLastSave="1" documentId="13_ncr:1_{902FF77B-863D-44E4-A340-18073B211CDC}" xr6:coauthVersionLast="47" xr6:coauthVersionMax="47" xr10:uidLastSave="{097F9198-E4FD-4969-B783-86DE92494753}"/>
  <bookViews>
    <workbookView xWindow="-103" yWindow="-103" windowWidth="22149" windowHeight="11829" xr2:uid="{CE6DF57D-AFF0-4B3A-9EC1-AA09175CCD15}"/>
  </bookViews>
  <sheets>
    <sheet name="Main" sheetId="1" r:id="rId1"/>
    <sheet name="JOGGNGRT" sheetId="3" r:id="rId2"/>
    <sheet name="JOGGNGError" sheetId="5" r:id="rId3"/>
    <sheet name="JOGGNGSpeed" sheetId="6" r:id="rId4"/>
    <sheet name="Sheet2" sheetId="2" r:id="rId5"/>
    <sheet name="Sheet1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3" l="1"/>
  <c r="P23" i="5"/>
  <c r="P22" i="5"/>
  <c r="P21" i="5"/>
  <c r="P20" i="5"/>
  <c r="D23" i="5"/>
  <c r="D22" i="5"/>
  <c r="D21" i="5"/>
  <c r="D20" i="5"/>
  <c r="O20" i="3"/>
  <c r="O18" i="3"/>
  <c r="O17" i="3"/>
  <c r="D20" i="3"/>
  <c r="D18" i="3"/>
  <c r="D17" i="3"/>
  <c r="D19" i="3"/>
  <c r="M9" i="2"/>
  <c r="L9" i="2"/>
  <c r="K9" i="2"/>
  <c r="J9" i="2"/>
  <c r="I9" i="2"/>
  <c r="H9" i="2"/>
  <c r="G9" i="2"/>
  <c r="F9" i="2"/>
  <c r="E9" i="2"/>
  <c r="D9" i="2"/>
  <c r="C9" i="2"/>
  <c r="M8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D7" i="2"/>
  <c r="C7" i="2"/>
  <c r="M5" i="2"/>
  <c r="L5" i="2"/>
  <c r="K5" i="2"/>
  <c r="J5" i="2"/>
  <c r="I5" i="2"/>
  <c r="H5" i="2"/>
  <c r="G5" i="2"/>
  <c r="F5" i="2"/>
  <c r="E5" i="2"/>
  <c r="D5" i="2"/>
  <c r="C5" i="2"/>
  <c r="M4" i="2"/>
  <c r="L4" i="2"/>
  <c r="K4" i="2"/>
  <c r="J4" i="2"/>
  <c r="I4" i="2"/>
  <c r="H4" i="2"/>
  <c r="G4" i="2"/>
  <c r="F4" i="2"/>
  <c r="E4" i="2"/>
  <c r="D4" i="2"/>
  <c r="C4" i="2"/>
  <c r="M3" i="2"/>
  <c r="L3" i="2"/>
  <c r="K3" i="2"/>
  <c r="J3" i="2"/>
  <c r="I3" i="2"/>
  <c r="H3" i="4" s="1"/>
  <c r="H3" i="2"/>
  <c r="G3" i="4" s="1"/>
  <c r="G3" i="2"/>
  <c r="F3" i="4" s="1"/>
  <c r="F3" i="2"/>
  <c r="E3" i="4" s="1"/>
  <c r="E3" i="2"/>
  <c r="D3" i="2"/>
  <c r="C3" i="2"/>
  <c r="K3" i="4" l="1"/>
  <c r="B4" i="4"/>
  <c r="L3" i="4"/>
  <c r="B3" i="4"/>
  <c r="C3" i="4"/>
  <c r="D3" i="4"/>
  <c r="E4" i="4"/>
  <c r="G4" i="4"/>
  <c r="I3" i="4"/>
  <c r="H4" i="4"/>
  <c r="D4" i="4"/>
  <c r="J3" i="4"/>
  <c r="L4" i="4"/>
  <c r="C4" i="4"/>
  <c r="F4" i="4"/>
  <c r="I4" i="4"/>
  <c r="J4" i="4"/>
  <c r="K4" i="4"/>
  <c r="K35" i="1"/>
  <c r="K26" i="1"/>
  <c r="I38" i="1"/>
  <c r="J38" i="1" s="1"/>
  <c r="K38" i="1"/>
  <c r="I41" i="1"/>
  <c r="J41" i="1" s="1"/>
  <c r="K41" i="1"/>
  <c r="I35" i="1"/>
  <c r="J35" i="1" s="1"/>
  <c r="I32" i="1"/>
  <c r="J32" i="1" s="1"/>
  <c r="K32" i="1"/>
  <c r="K29" i="1"/>
  <c r="K23" i="1"/>
  <c r="I17" i="1"/>
  <c r="J17" i="1" s="1"/>
  <c r="I20" i="1"/>
  <c r="J20" i="1" s="1"/>
  <c r="I23" i="1"/>
  <c r="J23" i="1" s="1"/>
  <c r="I26" i="1"/>
  <c r="J26" i="1" s="1"/>
  <c r="I29" i="1"/>
  <c r="J29" i="1" s="1"/>
  <c r="I5" i="1"/>
  <c r="J5" i="1" s="1"/>
  <c r="I8" i="1"/>
  <c r="J8" i="1" s="1"/>
  <c r="I11" i="1"/>
  <c r="J11" i="1" s="1"/>
  <c r="I14" i="1"/>
  <c r="J14" i="1" s="1"/>
  <c r="I2" i="1"/>
  <c r="J2" i="1" s="1"/>
  <c r="K17" i="1"/>
  <c r="L5" i="1"/>
  <c r="L8" i="1"/>
  <c r="L11" i="1"/>
  <c r="L2" i="1"/>
</calcChain>
</file>

<file path=xl/sharedStrings.xml><?xml version="1.0" encoding="utf-8"?>
<sst xmlns="http://schemas.openxmlformats.org/spreadsheetml/2006/main" count="242" uniqueCount="74">
  <si>
    <t>ID</t>
  </si>
  <si>
    <t>InterGroup</t>
  </si>
  <si>
    <t>Assessment</t>
  </si>
  <si>
    <t>Date</t>
  </si>
  <si>
    <t>Age</t>
  </si>
  <si>
    <t>Sex</t>
  </si>
  <si>
    <t>Height (cm)</t>
  </si>
  <si>
    <t>Weight (kg)</t>
  </si>
  <si>
    <t>Weight (lbs)</t>
  </si>
  <si>
    <t>Steps</t>
  </si>
  <si>
    <t>6MWT</t>
  </si>
  <si>
    <t>Grip (KG*N)</t>
  </si>
  <si>
    <t>WHOQOL</t>
  </si>
  <si>
    <t>AIAS</t>
  </si>
  <si>
    <t>PES</t>
  </si>
  <si>
    <t>J001</t>
  </si>
  <si>
    <t>F</t>
  </si>
  <si>
    <t>J002</t>
  </si>
  <si>
    <t>J003</t>
  </si>
  <si>
    <t>M</t>
  </si>
  <si>
    <t>J004</t>
  </si>
  <si>
    <t>J005</t>
  </si>
  <si>
    <t>J006</t>
  </si>
  <si>
    <t>J007</t>
  </si>
  <si>
    <t>J008</t>
  </si>
  <si>
    <t>J009</t>
  </si>
  <si>
    <t>J010</t>
  </si>
  <si>
    <t>Height (ft)</t>
  </si>
  <si>
    <t>Height (inch)</t>
  </si>
  <si>
    <t>notes</t>
  </si>
  <si>
    <t>J011</t>
  </si>
  <si>
    <t>J012</t>
  </si>
  <si>
    <t>J013</t>
  </si>
  <si>
    <t>J014</t>
  </si>
  <si>
    <t>AATapa</t>
  </si>
  <si>
    <t>AATava</t>
  </si>
  <si>
    <t>AATaps</t>
  </si>
  <si>
    <t>AATavs</t>
  </si>
  <si>
    <t>InterGroup2</t>
  </si>
  <si>
    <t>group analysis</t>
  </si>
  <si>
    <t>pos is slower on it</t>
  </si>
  <si>
    <t>group</t>
  </si>
  <si>
    <t>assessment</t>
  </si>
  <si>
    <t>steps</t>
  </si>
  <si>
    <t>VMCPM</t>
  </si>
  <si>
    <t>change</t>
  </si>
  <si>
    <t>more steps in group 0</t>
  </si>
  <si>
    <t>more counts in group 0</t>
  </si>
  <si>
    <t>faster to approach activity in grou 1</t>
  </si>
  <si>
    <t>faster to approach sedentary in group 0</t>
  </si>
  <si>
    <t>faster to avoid active in group 0</t>
  </si>
  <si>
    <t>faster to avoid sedentary group 0</t>
  </si>
  <si>
    <t>greater walking in group 1</t>
  </si>
  <si>
    <t>greater grip strength in group 1</t>
  </si>
  <si>
    <t>greater QOL in group 1</t>
  </si>
  <si>
    <t>greater want to be active in group 0</t>
  </si>
  <si>
    <t>greater perception of wanting physical activity in group 1</t>
  </si>
  <si>
    <t>participants</t>
  </si>
  <si>
    <t>sess1</t>
  </si>
  <si>
    <t>sess2</t>
  </si>
  <si>
    <t>sess3</t>
  </si>
  <si>
    <t>sess4</t>
  </si>
  <si>
    <t>sess5</t>
  </si>
  <si>
    <t>sess6</t>
  </si>
  <si>
    <t>sess7</t>
  </si>
  <si>
    <t>sess8</t>
  </si>
  <si>
    <t>sess9</t>
  </si>
  <si>
    <t>nan</t>
  </si>
  <si>
    <t>interGroup</t>
  </si>
  <si>
    <t>cwGroup</t>
  </si>
  <si>
    <t>Affect</t>
  </si>
  <si>
    <t>Instrum</t>
  </si>
  <si>
    <t>METs</t>
  </si>
  <si>
    <t>A1CPM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</si>
</sst>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164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177E-C326-4563-B36C-CBB98297965D}">
  <dimension ref="A1:AC6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6" x14ac:dyDescent="0.4"/>
  <cols>
    <col min="2" max="5" width="9.15234375" customWidth="1"/>
    <col min="6" max="6" width="8.15234375" customWidth="1"/>
    <col min="7" max="7" width="8.84375" customWidth="1"/>
    <col min="8" max="8" width="8.53515625" customWidth="1"/>
    <col min="9" max="9" width="5.3828125" customWidth="1"/>
    <col min="10" max="10" width="7" customWidth="1"/>
    <col min="11" max="11" width="6" customWidth="1"/>
    <col min="12" max="13" width="9.15234375" customWidth="1"/>
    <col min="17" max="21" width="9.15234375" customWidth="1"/>
    <col min="25" max="26" width="9.15234375" customWidth="1"/>
    <col min="28" max="28" width="25" customWidth="1"/>
    <col min="29" max="29" width="25.69140625" customWidth="1"/>
    <col min="30" max="30" width="20.3046875" customWidth="1"/>
    <col min="31" max="31" width="22.69140625" customWidth="1"/>
    <col min="32" max="32" width="17.69140625" customWidth="1"/>
    <col min="33" max="33" width="17.15234375" customWidth="1"/>
    <col min="34" max="34" width="11.84375" customWidth="1"/>
    <col min="35" max="35" width="14.3828125" customWidth="1"/>
    <col min="37" max="37" width="13.84375" customWidth="1"/>
    <col min="38" max="38" width="18.3046875" customWidth="1"/>
  </cols>
  <sheetData>
    <row r="1" spans="1:28" x14ac:dyDescent="0.4">
      <c r="A1" s="1" t="s">
        <v>0</v>
      </c>
      <c r="B1" t="s">
        <v>1</v>
      </c>
      <c r="C1" s="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</v>
      </c>
      <c r="J1" t="s">
        <v>28</v>
      </c>
      <c r="K1" t="s">
        <v>7</v>
      </c>
      <c r="L1" t="s">
        <v>8</v>
      </c>
      <c r="M1" t="s">
        <v>9</v>
      </c>
      <c r="N1" t="s">
        <v>72</v>
      </c>
      <c r="O1" t="s">
        <v>44</v>
      </c>
      <c r="P1" t="s">
        <v>73</v>
      </c>
      <c r="Q1" t="s">
        <v>34</v>
      </c>
      <c r="R1" t="s">
        <v>36</v>
      </c>
      <c r="S1" t="s">
        <v>35</v>
      </c>
      <c r="T1" t="s">
        <v>37</v>
      </c>
      <c r="U1" t="s">
        <v>12</v>
      </c>
      <c r="V1" t="s">
        <v>70</v>
      </c>
      <c r="W1" t="s">
        <v>71</v>
      </c>
      <c r="X1" t="s">
        <v>14</v>
      </c>
      <c r="Y1" t="s">
        <v>10</v>
      </c>
      <c r="Z1" t="s">
        <v>11</v>
      </c>
      <c r="AB1" t="s">
        <v>29</v>
      </c>
    </row>
    <row r="2" spans="1:28" x14ac:dyDescent="0.4">
      <c r="A2" s="1" t="s">
        <v>15</v>
      </c>
      <c r="B2">
        <v>1</v>
      </c>
      <c r="C2">
        <v>1</v>
      </c>
      <c r="D2">
        <v>1</v>
      </c>
      <c r="E2">
        <v>250403</v>
      </c>
      <c r="F2">
        <v>75</v>
      </c>
      <c r="G2" t="s">
        <v>16</v>
      </c>
      <c r="H2">
        <v>165</v>
      </c>
      <c r="I2" s="2">
        <f>INT(ROUND(H2 / 2.54 *8, 0) / 96)</f>
        <v>5</v>
      </c>
      <c r="J2" s="4">
        <f>ROUND((H2 / 2.54 - I2 * 12) * 8,0) / 8</f>
        <v>5</v>
      </c>
      <c r="K2" s="2">
        <v>65</v>
      </c>
      <c r="L2">
        <f>K2*2.2</f>
        <v>143</v>
      </c>
      <c r="M2">
        <v>3665.5</v>
      </c>
      <c r="N2">
        <v>1.056</v>
      </c>
      <c r="O2">
        <v>420.9</v>
      </c>
      <c r="P2">
        <v>186.2</v>
      </c>
      <c r="Q2">
        <v>-622.56547619047615</v>
      </c>
      <c r="R2">
        <v>-301.35714285714278</v>
      </c>
      <c r="S2">
        <v>-298.24547101449264</v>
      </c>
      <c r="T2">
        <v>-119.49547101449275</v>
      </c>
      <c r="U2">
        <v>119</v>
      </c>
      <c r="V2">
        <v>14</v>
      </c>
      <c r="W2">
        <v>14</v>
      </c>
      <c r="X2">
        <v>2.5</v>
      </c>
      <c r="Y2">
        <v>435</v>
      </c>
      <c r="Z2">
        <v>27</v>
      </c>
    </row>
    <row r="3" spans="1:28" x14ac:dyDescent="0.4">
      <c r="A3" s="1" t="s">
        <v>15</v>
      </c>
      <c r="B3">
        <v>1</v>
      </c>
      <c r="C3">
        <v>1</v>
      </c>
      <c r="D3">
        <v>2</v>
      </c>
      <c r="E3">
        <v>250505</v>
      </c>
      <c r="I3" s="2"/>
      <c r="J3" s="4"/>
      <c r="K3" s="2"/>
      <c r="M3">
        <v>3926</v>
      </c>
      <c r="N3">
        <v>1.048</v>
      </c>
      <c r="O3">
        <v>418.3</v>
      </c>
      <c r="P3">
        <v>178.9</v>
      </c>
      <c r="Q3">
        <v>-170.1401515151515</v>
      </c>
      <c r="R3">
        <v>-4.7651515151515014</v>
      </c>
      <c r="S3">
        <v>-28.009057971014386</v>
      </c>
      <c r="T3">
        <v>1.8478260869566157</v>
      </c>
      <c r="U3">
        <v>120</v>
      </c>
      <c r="V3">
        <v>12</v>
      </c>
      <c r="W3">
        <v>12</v>
      </c>
      <c r="X3">
        <v>2.75</v>
      </c>
      <c r="Y3">
        <v>495</v>
      </c>
      <c r="Z3">
        <v>20</v>
      </c>
    </row>
    <row r="4" spans="1:28" x14ac:dyDescent="0.4">
      <c r="A4" s="1" t="s">
        <v>15</v>
      </c>
      <c r="B4">
        <v>1</v>
      </c>
      <c r="C4">
        <v>1</v>
      </c>
      <c r="D4">
        <v>3</v>
      </c>
      <c r="E4">
        <v>250603</v>
      </c>
      <c r="I4" s="2"/>
      <c r="J4" s="4"/>
      <c r="K4" s="2"/>
      <c r="M4">
        <v>3620</v>
      </c>
      <c r="N4">
        <v>1.052</v>
      </c>
      <c r="O4">
        <v>432.6</v>
      </c>
      <c r="P4">
        <v>181.9</v>
      </c>
      <c r="Q4">
        <v>-44.576086956521749</v>
      </c>
      <c r="R4">
        <v>75.833333333333371</v>
      </c>
      <c r="S4">
        <v>-98.458333333333258</v>
      </c>
      <c r="T4">
        <v>168.07971014492762</v>
      </c>
      <c r="U4">
        <v>109</v>
      </c>
      <c r="V4">
        <v>12</v>
      </c>
      <c r="W4">
        <v>12</v>
      </c>
      <c r="X4">
        <v>1.5</v>
      </c>
      <c r="Y4">
        <v>457.5</v>
      </c>
      <c r="Z4">
        <v>24</v>
      </c>
    </row>
    <row r="5" spans="1:28" x14ac:dyDescent="0.4">
      <c r="A5" t="s">
        <v>17</v>
      </c>
      <c r="B5">
        <v>0</v>
      </c>
      <c r="C5">
        <v>1</v>
      </c>
      <c r="D5">
        <v>1</v>
      </c>
      <c r="E5">
        <v>250414</v>
      </c>
      <c r="F5">
        <v>70</v>
      </c>
      <c r="G5" t="s">
        <v>16</v>
      </c>
      <c r="H5">
        <v>171</v>
      </c>
      <c r="I5" s="2">
        <f t="shared" ref="I5:I32" si="0">INT(ROUND(H5 / 2.54 *8, 0) / 96)</f>
        <v>5</v>
      </c>
      <c r="J5" s="4">
        <f t="shared" ref="J5:J11" si="1">ROUND((H5 / 2.54 - I5 * 12) * 8,0) / 8</f>
        <v>7.375</v>
      </c>
      <c r="K5" s="2">
        <v>55.2</v>
      </c>
      <c r="L5">
        <f t="shared" ref="L5:L11" si="2">K5*2.2</f>
        <v>121.44000000000001</v>
      </c>
      <c r="M5">
        <v>8572.1428571428569</v>
      </c>
      <c r="N5">
        <v>1.179</v>
      </c>
      <c r="O5">
        <v>582.9</v>
      </c>
      <c r="P5">
        <v>329.7</v>
      </c>
      <c r="Q5">
        <v>49.072463768115767</v>
      </c>
      <c r="R5">
        <v>54.03623188405777</v>
      </c>
      <c r="S5">
        <v>88.944746376811736</v>
      </c>
      <c r="T5">
        <v>833.5554183135705</v>
      </c>
      <c r="U5">
        <v>129</v>
      </c>
      <c r="V5">
        <v>14</v>
      </c>
      <c r="W5">
        <v>14</v>
      </c>
      <c r="X5">
        <v>2</v>
      </c>
      <c r="Y5">
        <v>532.5</v>
      </c>
      <c r="Z5">
        <v>30</v>
      </c>
    </row>
    <row r="6" spans="1:28" x14ac:dyDescent="0.4">
      <c r="A6" t="s">
        <v>17</v>
      </c>
      <c r="B6">
        <v>0</v>
      </c>
      <c r="C6">
        <v>1</v>
      </c>
      <c r="D6">
        <v>2</v>
      </c>
      <c r="E6">
        <v>250602</v>
      </c>
      <c r="I6" s="2"/>
      <c r="J6" s="4"/>
      <c r="K6" s="2"/>
      <c r="M6">
        <v>8715</v>
      </c>
      <c r="N6">
        <v>1.153</v>
      </c>
      <c r="O6">
        <v>661.8</v>
      </c>
      <c r="P6">
        <v>344.5</v>
      </c>
      <c r="Q6">
        <v>151.8452380952383</v>
      </c>
      <c r="R6">
        <v>659.17857142857156</v>
      </c>
      <c r="S6">
        <v>48.446557971014499</v>
      </c>
      <c r="T6">
        <v>171.973731884058</v>
      </c>
      <c r="U6">
        <v>127</v>
      </c>
      <c r="V6">
        <v>14</v>
      </c>
      <c r="W6">
        <v>14</v>
      </c>
      <c r="X6">
        <v>4</v>
      </c>
      <c r="Y6">
        <v>540</v>
      </c>
      <c r="Z6">
        <v>29</v>
      </c>
    </row>
    <row r="7" spans="1:28" x14ac:dyDescent="0.4">
      <c r="A7" t="s">
        <v>17</v>
      </c>
      <c r="B7">
        <v>0</v>
      </c>
      <c r="C7">
        <v>1</v>
      </c>
      <c r="D7">
        <v>3</v>
      </c>
      <c r="E7">
        <v>250707</v>
      </c>
      <c r="I7" s="2"/>
      <c r="J7" s="4"/>
      <c r="K7" s="2"/>
      <c r="M7">
        <v>5360.5714285714284</v>
      </c>
      <c r="N7">
        <v>1.0740000000000001</v>
      </c>
      <c r="O7">
        <v>502.7</v>
      </c>
      <c r="P7">
        <v>226.1</v>
      </c>
      <c r="Q7">
        <v>60.306159420289987</v>
      </c>
      <c r="R7">
        <v>112.15579710144925</v>
      </c>
      <c r="S7">
        <v>-54.602025691699737</v>
      </c>
      <c r="T7">
        <v>226.76539855072451</v>
      </c>
      <c r="U7">
        <v>130</v>
      </c>
      <c r="V7">
        <v>14</v>
      </c>
      <c r="W7">
        <v>14</v>
      </c>
      <c r="X7">
        <v>4</v>
      </c>
      <c r="Y7">
        <v>525</v>
      </c>
      <c r="Z7">
        <v>35</v>
      </c>
    </row>
    <row r="8" spans="1:28" x14ac:dyDescent="0.4">
      <c r="A8" t="s">
        <v>18</v>
      </c>
      <c r="B8">
        <v>1</v>
      </c>
      <c r="C8">
        <v>11</v>
      </c>
      <c r="D8">
        <v>1</v>
      </c>
      <c r="E8">
        <v>250414</v>
      </c>
      <c r="F8">
        <v>68</v>
      </c>
      <c r="G8" t="s">
        <v>19</v>
      </c>
      <c r="H8">
        <v>169</v>
      </c>
      <c r="I8" s="2">
        <f t="shared" si="0"/>
        <v>5</v>
      </c>
      <c r="J8" s="4">
        <f t="shared" si="1"/>
        <v>6.5</v>
      </c>
      <c r="K8" s="2">
        <v>54.8</v>
      </c>
      <c r="L8">
        <f t="shared" si="2"/>
        <v>120.56</v>
      </c>
      <c r="M8">
        <v>10237.857142857143</v>
      </c>
      <c r="N8">
        <v>1.1870000000000001</v>
      </c>
      <c r="O8">
        <v>680.1</v>
      </c>
      <c r="P8">
        <v>362.7</v>
      </c>
      <c r="Q8">
        <v>-87.643939393939377</v>
      </c>
      <c r="R8">
        <v>504.96439393939409</v>
      </c>
      <c r="S8">
        <v>365.14426877470351</v>
      </c>
      <c r="T8">
        <v>-32.431818181818244</v>
      </c>
      <c r="U8">
        <v>118</v>
      </c>
      <c r="V8">
        <v>14</v>
      </c>
      <c r="W8">
        <v>14</v>
      </c>
      <c r="X8">
        <v>2.75</v>
      </c>
      <c r="Y8">
        <v>510</v>
      </c>
      <c r="Z8">
        <v>48</v>
      </c>
    </row>
    <row r="9" spans="1:28" x14ac:dyDescent="0.4">
      <c r="A9" t="s">
        <v>18</v>
      </c>
      <c r="B9">
        <v>1</v>
      </c>
      <c r="C9">
        <v>11</v>
      </c>
      <c r="D9">
        <v>2</v>
      </c>
      <c r="E9">
        <v>250602</v>
      </c>
      <c r="I9" s="2"/>
      <c r="J9" s="4"/>
      <c r="K9" s="2"/>
      <c r="M9">
        <v>8895.2857142857138</v>
      </c>
      <c r="N9">
        <v>1.117</v>
      </c>
      <c r="O9">
        <v>593.4</v>
      </c>
      <c r="P9">
        <v>292.8</v>
      </c>
      <c r="Q9">
        <v>-71.471218487394935</v>
      </c>
      <c r="R9">
        <v>456.0198529411764</v>
      </c>
      <c r="S9">
        <v>394.695652173913</v>
      </c>
      <c r="T9">
        <v>52.655797101449252</v>
      </c>
      <c r="U9">
        <v>122</v>
      </c>
      <c r="V9">
        <v>13</v>
      </c>
      <c r="W9">
        <v>14</v>
      </c>
      <c r="X9">
        <v>2.75</v>
      </c>
      <c r="Y9">
        <v>570</v>
      </c>
      <c r="Z9">
        <v>44</v>
      </c>
    </row>
    <row r="10" spans="1:28" x14ac:dyDescent="0.4">
      <c r="A10" t="s">
        <v>18</v>
      </c>
      <c r="B10">
        <v>1</v>
      </c>
      <c r="C10">
        <v>11</v>
      </c>
      <c r="D10">
        <v>3</v>
      </c>
      <c r="E10">
        <v>250707</v>
      </c>
      <c r="I10" s="2"/>
      <c r="J10" s="4"/>
      <c r="K10" s="2"/>
      <c r="M10">
        <v>6312.5714285714284</v>
      </c>
      <c r="N10">
        <v>1.071</v>
      </c>
      <c r="O10">
        <v>547.1</v>
      </c>
      <c r="P10">
        <v>227.8</v>
      </c>
      <c r="Q10">
        <v>-5.1166007905138713</v>
      </c>
      <c r="R10">
        <v>333.78260869565224</v>
      </c>
      <c r="S10">
        <v>98.45701581027663</v>
      </c>
      <c r="T10">
        <v>-55.405303030303003</v>
      </c>
      <c r="U10">
        <v>125</v>
      </c>
      <c r="V10">
        <v>12</v>
      </c>
      <c r="W10">
        <v>14</v>
      </c>
      <c r="X10">
        <v>3</v>
      </c>
      <c r="Y10">
        <v>555</v>
      </c>
      <c r="Z10">
        <v>48</v>
      </c>
    </row>
    <row r="11" spans="1:28" x14ac:dyDescent="0.4">
      <c r="A11" t="s">
        <v>20</v>
      </c>
      <c r="B11">
        <v>0</v>
      </c>
      <c r="C11">
        <v>11</v>
      </c>
      <c r="D11">
        <v>1</v>
      </c>
      <c r="E11">
        <v>250416</v>
      </c>
      <c r="F11">
        <v>65</v>
      </c>
      <c r="G11" t="s">
        <v>16</v>
      </c>
      <c r="H11">
        <v>159</v>
      </c>
      <c r="I11" s="2">
        <f t="shared" si="0"/>
        <v>5</v>
      </c>
      <c r="J11" s="4">
        <f t="shared" si="1"/>
        <v>2.625</v>
      </c>
      <c r="K11" s="2">
        <v>51.7</v>
      </c>
      <c r="L11">
        <f t="shared" si="2"/>
        <v>113.74000000000001</v>
      </c>
      <c r="M11">
        <v>8501.1666666666661</v>
      </c>
      <c r="N11">
        <v>1.1339999999999999</v>
      </c>
      <c r="O11">
        <v>858.4</v>
      </c>
      <c r="P11">
        <v>380.2</v>
      </c>
      <c r="Q11">
        <v>158.60054347826099</v>
      </c>
      <c r="R11">
        <v>-90.88134057971024</v>
      </c>
      <c r="S11">
        <v>-331.02083333333326</v>
      </c>
      <c r="T11">
        <v>893.75271739130449</v>
      </c>
      <c r="U11">
        <v>107</v>
      </c>
      <c r="V11">
        <v>10</v>
      </c>
      <c r="W11">
        <v>12</v>
      </c>
      <c r="X11">
        <v>2</v>
      </c>
      <c r="Y11">
        <v>412.5</v>
      </c>
      <c r="Z11">
        <v>36</v>
      </c>
    </row>
    <row r="12" spans="1:28" x14ac:dyDescent="0.4">
      <c r="A12" t="s">
        <v>20</v>
      </c>
      <c r="B12">
        <v>0</v>
      </c>
      <c r="C12">
        <v>11</v>
      </c>
      <c r="D12">
        <v>2</v>
      </c>
      <c r="E12">
        <v>250514</v>
      </c>
      <c r="I12" s="2"/>
      <c r="J12" s="4"/>
      <c r="K12" s="2"/>
      <c r="M12">
        <v>10406.714285714286</v>
      </c>
      <c r="N12">
        <v>1.18</v>
      </c>
      <c r="O12">
        <v>967</v>
      </c>
      <c r="P12">
        <v>452</v>
      </c>
      <c r="Q12">
        <v>156.52536231884051</v>
      </c>
      <c r="R12">
        <v>-166.64130434782601</v>
      </c>
      <c r="S12">
        <v>-269.66666666666652</v>
      </c>
      <c r="T12">
        <v>-93.624999999999773</v>
      </c>
      <c r="U12">
        <v>108</v>
      </c>
      <c r="V12">
        <v>10</v>
      </c>
      <c r="W12">
        <v>12</v>
      </c>
      <c r="X12">
        <v>2</v>
      </c>
      <c r="Y12">
        <v>457.5</v>
      </c>
      <c r="Z12">
        <v>34</v>
      </c>
    </row>
    <row r="13" spans="1:28" x14ac:dyDescent="0.4">
      <c r="A13" t="s">
        <v>20</v>
      </c>
      <c r="B13">
        <v>0</v>
      </c>
      <c r="C13">
        <v>11</v>
      </c>
      <c r="D13">
        <v>3</v>
      </c>
      <c r="E13">
        <v>250617</v>
      </c>
      <c r="I13" s="2"/>
      <c r="J13" s="4"/>
      <c r="K13" s="2"/>
      <c r="M13">
        <v>7257.7142857142853</v>
      </c>
      <c r="N13">
        <v>1.097</v>
      </c>
      <c r="O13">
        <v>844.9</v>
      </c>
      <c r="P13">
        <v>326.89999999999998</v>
      </c>
      <c r="Q13">
        <v>194.34692028985523</v>
      </c>
      <c r="R13">
        <v>24.160326086956729</v>
      </c>
      <c r="S13">
        <v>-11.9375</v>
      </c>
      <c r="T13">
        <v>-20.770833333333258</v>
      </c>
      <c r="U13">
        <v>106</v>
      </c>
      <c r="V13">
        <v>10</v>
      </c>
      <c r="W13">
        <v>12</v>
      </c>
      <c r="X13">
        <v>2</v>
      </c>
      <c r="Y13">
        <v>495</v>
      </c>
      <c r="Z13">
        <v>38</v>
      </c>
    </row>
    <row r="14" spans="1:28" x14ac:dyDescent="0.4">
      <c r="A14" t="s">
        <v>21</v>
      </c>
      <c r="B14">
        <v>1</v>
      </c>
      <c r="C14">
        <v>1</v>
      </c>
      <c r="D14">
        <v>1</v>
      </c>
      <c r="E14">
        <v>250430</v>
      </c>
      <c r="F14">
        <v>70</v>
      </c>
      <c r="G14" t="s">
        <v>19</v>
      </c>
      <c r="H14">
        <v>177</v>
      </c>
      <c r="I14" s="2">
        <f t="shared" si="0"/>
        <v>5</v>
      </c>
      <c r="J14" s="4">
        <f t="shared" ref="J14:J32" si="3">ROUND((H14 / 2.54 - I14 * 12) * 8,0) / 8</f>
        <v>9.625</v>
      </c>
      <c r="K14" s="2">
        <v>90.5</v>
      </c>
      <c r="L14">
        <v>199.6</v>
      </c>
      <c r="M14">
        <v>2794.6666666666665</v>
      </c>
      <c r="N14">
        <v>1.016</v>
      </c>
      <c r="O14">
        <v>358.8</v>
      </c>
      <c r="P14">
        <v>106.5</v>
      </c>
      <c r="Q14">
        <v>124.39583333333326</v>
      </c>
      <c r="R14">
        <v>-10.229166666666742</v>
      </c>
      <c r="S14">
        <v>-127.17391304347825</v>
      </c>
      <c r="T14">
        <v>326.49275362318849</v>
      </c>
      <c r="U14">
        <v>112</v>
      </c>
      <c r="V14">
        <v>12</v>
      </c>
      <c r="W14">
        <v>14</v>
      </c>
      <c r="X14">
        <v>2.25</v>
      </c>
      <c r="Y14">
        <v>322.5</v>
      </c>
      <c r="Z14">
        <v>26</v>
      </c>
    </row>
    <row r="15" spans="1:28" x14ac:dyDescent="0.4">
      <c r="A15" t="s">
        <v>21</v>
      </c>
      <c r="B15">
        <v>1</v>
      </c>
      <c r="C15">
        <v>1</v>
      </c>
      <c r="D15">
        <v>2</v>
      </c>
      <c r="E15">
        <v>250523</v>
      </c>
      <c r="I15" s="2"/>
      <c r="J15" s="4"/>
      <c r="K15" s="2"/>
      <c r="M15">
        <v>3704.2857142857142</v>
      </c>
      <c r="N15">
        <v>1.0109999999999999</v>
      </c>
      <c r="O15">
        <v>506.3</v>
      </c>
      <c r="P15">
        <v>129.30000000000001</v>
      </c>
      <c r="Q15">
        <v>99.729166666666742</v>
      </c>
      <c r="R15">
        <v>-61.395833333333258</v>
      </c>
      <c r="S15">
        <v>78.826086956521522</v>
      </c>
      <c r="T15">
        <v>205.52173913043475</v>
      </c>
      <c r="U15">
        <v>115</v>
      </c>
      <c r="V15">
        <v>12</v>
      </c>
      <c r="W15">
        <v>13</v>
      </c>
      <c r="X15">
        <v>2</v>
      </c>
      <c r="Y15">
        <v>435</v>
      </c>
      <c r="Z15">
        <v>29</v>
      </c>
    </row>
    <row r="16" spans="1:28" x14ac:dyDescent="0.4">
      <c r="A16" t="s">
        <v>21</v>
      </c>
      <c r="B16">
        <v>1</v>
      </c>
      <c r="C16">
        <v>1</v>
      </c>
      <c r="D16">
        <v>3</v>
      </c>
      <c r="E16">
        <v>250715</v>
      </c>
      <c r="I16" s="2"/>
      <c r="J16" s="4"/>
      <c r="K16" s="2"/>
      <c r="M16">
        <v>6651.125</v>
      </c>
      <c r="N16">
        <v>1.042</v>
      </c>
      <c r="O16">
        <v>713</v>
      </c>
      <c r="P16">
        <v>246.1</v>
      </c>
      <c r="Q16">
        <v>105.16666666666674</v>
      </c>
      <c r="R16">
        <v>265.29166666666674</v>
      </c>
      <c r="S16">
        <v>33.169384057971001</v>
      </c>
      <c r="T16">
        <v>124.39764492753625</v>
      </c>
      <c r="U16">
        <v>108</v>
      </c>
      <c r="V16">
        <v>10</v>
      </c>
      <c r="W16">
        <v>14</v>
      </c>
      <c r="X16">
        <v>1.25</v>
      </c>
      <c r="Y16">
        <v>405</v>
      </c>
      <c r="Z16">
        <v>27</v>
      </c>
    </row>
    <row r="17" spans="1:26" x14ac:dyDescent="0.4">
      <c r="A17" t="s">
        <v>22</v>
      </c>
      <c r="B17">
        <v>0</v>
      </c>
      <c r="C17">
        <v>1</v>
      </c>
      <c r="D17">
        <v>1</v>
      </c>
      <c r="E17">
        <v>250515</v>
      </c>
      <c r="F17">
        <v>79</v>
      </c>
      <c r="G17" t="s">
        <v>19</v>
      </c>
      <c r="H17">
        <v>177</v>
      </c>
      <c r="I17" s="2">
        <f t="shared" si="0"/>
        <v>5</v>
      </c>
      <c r="J17" s="4">
        <f t="shared" si="3"/>
        <v>9.625</v>
      </c>
      <c r="K17" s="2">
        <f>L17/2.2</f>
        <v>99.090909090909079</v>
      </c>
      <c r="L17">
        <v>218</v>
      </c>
      <c r="M17">
        <v>2131.3333333333335</v>
      </c>
      <c r="N17">
        <v>1.014</v>
      </c>
      <c r="O17">
        <v>353.6</v>
      </c>
      <c r="P17">
        <v>99</v>
      </c>
      <c r="Q17">
        <v>161.79464285714289</v>
      </c>
      <c r="R17">
        <v>607.90152691511389</v>
      </c>
      <c r="S17">
        <v>661.03837285902523</v>
      </c>
      <c r="T17">
        <v>207.61575381140597</v>
      </c>
      <c r="U17">
        <v>100</v>
      </c>
      <c r="V17">
        <v>8</v>
      </c>
      <c r="W17">
        <v>12</v>
      </c>
      <c r="X17">
        <v>0.75</v>
      </c>
      <c r="Y17">
        <v>337.5</v>
      </c>
      <c r="Z17">
        <v>32</v>
      </c>
    </row>
    <row r="18" spans="1:26" x14ac:dyDescent="0.4">
      <c r="A18" t="s">
        <v>22</v>
      </c>
      <c r="B18">
        <v>0</v>
      </c>
      <c r="C18">
        <v>1</v>
      </c>
      <c r="D18">
        <v>2</v>
      </c>
      <c r="E18">
        <v>250714</v>
      </c>
      <c r="I18" s="2"/>
      <c r="J18" s="4"/>
      <c r="K18" s="2"/>
      <c r="M18">
        <v>1378.75</v>
      </c>
      <c r="N18">
        <v>1.0029999999999999</v>
      </c>
      <c r="O18">
        <v>276.10000000000002</v>
      </c>
      <c r="P18">
        <v>61.7</v>
      </c>
      <c r="Q18">
        <v>26.070393374741116</v>
      </c>
      <c r="R18">
        <v>139.22981366459612</v>
      </c>
      <c r="S18">
        <v>45.734090909091037</v>
      </c>
      <c r="T18">
        <v>28.552272727272793</v>
      </c>
      <c r="U18">
        <v>103</v>
      </c>
      <c r="V18">
        <v>11</v>
      </c>
      <c r="W18">
        <v>12</v>
      </c>
      <c r="X18">
        <v>0</v>
      </c>
      <c r="Y18">
        <v>337.5</v>
      </c>
      <c r="Z18">
        <v>32</v>
      </c>
    </row>
    <row r="19" spans="1:26" x14ac:dyDescent="0.4">
      <c r="A19" t="s">
        <v>22</v>
      </c>
      <c r="B19">
        <v>0</v>
      </c>
      <c r="C19">
        <v>1</v>
      </c>
      <c r="D19">
        <v>3</v>
      </c>
      <c r="E19">
        <v>250808</v>
      </c>
      <c r="I19" s="2"/>
      <c r="J19" s="4"/>
      <c r="K19" s="2"/>
      <c r="M19">
        <v>1604.5714285714287</v>
      </c>
      <c r="N19">
        <v>1.0069999999999999</v>
      </c>
      <c r="O19">
        <v>226</v>
      </c>
      <c r="P19">
        <v>88</v>
      </c>
      <c r="Q19">
        <v>132.47875494071127</v>
      </c>
      <c r="R19">
        <v>-224.69696969696975</v>
      </c>
      <c r="S19">
        <v>130.018115942029</v>
      </c>
      <c r="T19">
        <v>58.19202898550725</v>
      </c>
      <c r="U19">
        <v>100</v>
      </c>
      <c r="V19">
        <v>10</v>
      </c>
      <c r="W19">
        <v>13</v>
      </c>
      <c r="X19">
        <v>0.25</v>
      </c>
      <c r="Y19">
        <v>367.5</v>
      </c>
      <c r="Z19">
        <v>32</v>
      </c>
    </row>
    <row r="20" spans="1:26" x14ac:dyDescent="0.4">
      <c r="A20" s="3" t="s">
        <v>23</v>
      </c>
      <c r="B20" s="3">
        <v>0</v>
      </c>
      <c r="C20" s="3">
        <v>11</v>
      </c>
      <c r="D20" s="3">
        <v>1</v>
      </c>
      <c r="E20" s="3">
        <v>250611</v>
      </c>
      <c r="F20" s="3">
        <v>72</v>
      </c>
      <c r="G20" s="3" t="s">
        <v>16</v>
      </c>
      <c r="H20" s="3">
        <v>162</v>
      </c>
      <c r="I20" s="2">
        <f t="shared" si="0"/>
        <v>5</v>
      </c>
      <c r="J20" s="4">
        <f t="shared" si="3"/>
        <v>3.75</v>
      </c>
      <c r="K20" s="3">
        <v>66.3</v>
      </c>
      <c r="L20" s="3">
        <v>146.19999999999999</v>
      </c>
      <c r="M20">
        <v>7039.7142857142853</v>
      </c>
      <c r="N20">
        <v>1.139</v>
      </c>
      <c r="O20">
        <v>587.20000000000005</v>
      </c>
      <c r="P20">
        <v>279.5</v>
      </c>
      <c r="Q20">
        <v>459.47101449275374</v>
      </c>
      <c r="R20">
        <v>367.63768115942048</v>
      </c>
      <c r="S20">
        <v>581.59057971014499</v>
      </c>
      <c r="T20">
        <v>165.41666666666674</v>
      </c>
      <c r="U20">
        <v>109</v>
      </c>
      <c r="V20">
        <v>10</v>
      </c>
      <c r="W20">
        <v>14</v>
      </c>
      <c r="X20">
        <v>0</v>
      </c>
      <c r="Y20">
        <v>435</v>
      </c>
      <c r="Z20">
        <v>23</v>
      </c>
    </row>
    <row r="21" spans="1:26" x14ac:dyDescent="0.4">
      <c r="A21" s="3" t="s">
        <v>23</v>
      </c>
      <c r="B21" s="3">
        <v>0</v>
      </c>
      <c r="C21" s="3">
        <v>11</v>
      </c>
      <c r="D21" s="3">
        <v>2</v>
      </c>
      <c r="E21" s="3">
        <v>250721</v>
      </c>
      <c r="F21" s="3"/>
      <c r="G21" s="3"/>
      <c r="H21" s="3"/>
      <c r="I21" s="2"/>
      <c r="J21" s="4"/>
      <c r="K21" s="3"/>
      <c r="L21" s="3"/>
      <c r="M21">
        <v>8007.8571428571431</v>
      </c>
      <c r="N21">
        <v>1.1859999999999999</v>
      </c>
      <c r="O21">
        <v>646.79999999999995</v>
      </c>
      <c r="P21">
        <v>318.2</v>
      </c>
      <c r="Q21">
        <v>272.90313852813858</v>
      </c>
      <c r="R21">
        <v>235.37499999999989</v>
      </c>
      <c r="S21">
        <v>62.742753623188491</v>
      </c>
      <c r="T21">
        <v>161.97644927536248</v>
      </c>
      <c r="U21">
        <v>114</v>
      </c>
      <c r="V21">
        <v>9</v>
      </c>
      <c r="W21">
        <v>12</v>
      </c>
      <c r="X21">
        <v>0.75</v>
      </c>
      <c r="Y21">
        <v>412.5</v>
      </c>
      <c r="Z21">
        <v>24</v>
      </c>
    </row>
    <row r="22" spans="1:26" x14ac:dyDescent="0.4">
      <c r="A22" s="3" t="s">
        <v>23</v>
      </c>
      <c r="B22" s="3">
        <v>0</v>
      </c>
      <c r="C22" s="3">
        <v>11</v>
      </c>
      <c r="D22" s="3">
        <v>3</v>
      </c>
      <c r="E22" s="3">
        <v>250808</v>
      </c>
      <c r="F22" s="3"/>
      <c r="G22" s="3"/>
      <c r="H22" s="3"/>
      <c r="I22" s="2"/>
      <c r="J22" s="4"/>
      <c r="K22" s="3"/>
      <c r="L22" s="3"/>
      <c r="M22">
        <v>5277.4285714285716</v>
      </c>
      <c r="N22">
        <v>1.161</v>
      </c>
      <c r="O22">
        <v>567</v>
      </c>
      <c r="P22">
        <v>273.8</v>
      </c>
      <c r="Q22">
        <v>24.125000000000227</v>
      </c>
      <c r="R22">
        <v>243.94101731601745</v>
      </c>
      <c r="S22">
        <v>357.08143939393949</v>
      </c>
      <c r="T22">
        <v>107.60416666666674</v>
      </c>
      <c r="U22">
        <v>114</v>
      </c>
      <c r="V22">
        <v>10</v>
      </c>
      <c r="W22">
        <v>11</v>
      </c>
      <c r="X22">
        <v>0.5</v>
      </c>
      <c r="Y22">
        <v>427.5</v>
      </c>
      <c r="Z22">
        <v>22</v>
      </c>
    </row>
    <row r="23" spans="1:26" x14ac:dyDescent="0.4">
      <c r="A23" s="3" t="s">
        <v>24</v>
      </c>
      <c r="B23" s="3">
        <v>1</v>
      </c>
      <c r="C23" s="3">
        <v>11</v>
      </c>
      <c r="D23" s="3">
        <v>1</v>
      </c>
      <c r="E23" s="3">
        <v>250623</v>
      </c>
      <c r="F23" s="3">
        <v>61</v>
      </c>
      <c r="G23" s="3" t="s">
        <v>16</v>
      </c>
      <c r="H23" s="3">
        <v>143</v>
      </c>
      <c r="I23" s="2">
        <f t="shared" si="0"/>
        <v>4</v>
      </c>
      <c r="J23" s="4">
        <f t="shared" si="3"/>
        <v>8.25</v>
      </c>
      <c r="K23" s="5">
        <f>L23/2.2</f>
        <v>84.090909090909079</v>
      </c>
      <c r="L23" s="3">
        <v>185</v>
      </c>
      <c r="M23">
        <v>3490.625</v>
      </c>
      <c r="N23">
        <v>1.036</v>
      </c>
      <c r="O23">
        <v>516.6</v>
      </c>
      <c r="P23">
        <v>194.7</v>
      </c>
      <c r="Q23">
        <v>199.82608695652152</v>
      </c>
      <c r="R23">
        <v>88.826086956521522</v>
      </c>
      <c r="S23">
        <v>308.53894927536226</v>
      </c>
      <c r="T23">
        <v>389.23460144927526</v>
      </c>
      <c r="U23">
        <v>109</v>
      </c>
      <c r="V23">
        <v>9</v>
      </c>
      <c r="W23">
        <v>14</v>
      </c>
      <c r="X23">
        <v>1.5</v>
      </c>
      <c r="Y23">
        <v>382.5</v>
      </c>
      <c r="Z23">
        <v>23</v>
      </c>
    </row>
    <row r="24" spans="1:26" x14ac:dyDescent="0.4">
      <c r="A24" s="3" t="s">
        <v>24</v>
      </c>
      <c r="B24" s="3">
        <v>1</v>
      </c>
      <c r="C24" s="3">
        <v>11</v>
      </c>
      <c r="D24" s="3">
        <v>2</v>
      </c>
      <c r="E24" s="3">
        <v>250729</v>
      </c>
      <c r="F24" s="3"/>
      <c r="G24" s="3"/>
      <c r="H24" s="3"/>
      <c r="I24" s="2"/>
      <c r="J24" s="4"/>
      <c r="K24" s="5"/>
      <c r="L24" s="3"/>
      <c r="M24">
        <v>2594</v>
      </c>
      <c r="N24">
        <v>1.02</v>
      </c>
      <c r="O24">
        <v>500.4</v>
      </c>
      <c r="P24">
        <v>167.2</v>
      </c>
      <c r="Q24">
        <v>90.371894409938022</v>
      </c>
      <c r="R24">
        <v>158.52587991718428</v>
      </c>
      <c r="S24">
        <v>-77.341485507246261</v>
      </c>
      <c r="T24">
        <v>81.491847826086996</v>
      </c>
      <c r="U24">
        <v>117</v>
      </c>
      <c r="V24">
        <v>11</v>
      </c>
      <c r="W24">
        <v>14</v>
      </c>
      <c r="X24">
        <v>3.25</v>
      </c>
      <c r="Y24">
        <v>457.5</v>
      </c>
      <c r="Z24">
        <v>22</v>
      </c>
    </row>
    <row r="25" spans="1:26" x14ac:dyDescent="0.4">
      <c r="A25" s="3" t="s">
        <v>24</v>
      </c>
      <c r="B25" s="3">
        <v>1</v>
      </c>
      <c r="C25" s="3">
        <v>11</v>
      </c>
      <c r="D25" s="3">
        <v>3</v>
      </c>
      <c r="E25" s="3">
        <v>250819</v>
      </c>
      <c r="F25" s="3"/>
      <c r="G25" s="3"/>
      <c r="H25" s="3"/>
      <c r="I25" s="2"/>
      <c r="J25" s="4"/>
      <c r="K25" s="5"/>
      <c r="L25" s="3"/>
      <c r="M25">
        <v>2787.8571428571427</v>
      </c>
      <c r="N25">
        <v>1.0329999999999999</v>
      </c>
      <c r="O25">
        <v>504.6</v>
      </c>
      <c r="P25">
        <v>192.8</v>
      </c>
      <c r="Q25">
        <v>-644.44927536231876</v>
      </c>
      <c r="R25">
        <v>-438.44384057971001</v>
      </c>
      <c r="S25">
        <v>-156.199522397892</v>
      </c>
      <c r="T25">
        <v>-127.50387022397899</v>
      </c>
      <c r="U25">
        <v>105</v>
      </c>
      <c r="V25">
        <v>9</v>
      </c>
      <c r="W25">
        <v>12</v>
      </c>
      <c r="X25">
        <v>3.25</v>
      </c>
      <c r="Y25">
        <v>420</v>
      </c>
      <c r="Z25">
        <v>20</v>
      </c>
    </row>
    <row r="26" spans="1:26" x14ac:dyDescent="0.4">
      <c r="A26" s="3" t="s">
        <v>25</v>
      </c>
      <c r="B26" s="3">
        <v>1</v>
      </c>
      <c r="C26" s="3">
        <v>1</v>
      </c>
      <c r="D26" s="3">
        <v>1</v>
      </c>
      <c r="E26" s="3">
        <v>250703</v>
      </c>
      <c r="F26" s="3">
        <v>62</v>
      </c>
      <c r="G26" s="3" t="s">
        <v>16</v>
      </c>
      <c r="H26" s="3">
        <v>162</v>
      </c>
      <c r="I26" s="2">
        <f t="shared" si="0"/>
        <v>5</v>
      </c>
      <c r="J26" s="4">
        <f t="shared" si="3"/>
        <v>3.75</v>
      </c>
      <c r="K26" s="5">
        <f t="shared" ref="K26" si="4">L26/2.2</f>
        <v>81.36363636363636</v>
      </c>
      <c r="L26" s="3">
        <v>179</v>
      </c>
      <c r="M26">
        <v>9009.75</v>
      </c>
      <c r="N26">
        <v>1.234</v>
      </c>
      <c r="O26">
        <v>597.6</v>
      </c>
      <c r="P26">
        <v>326</v>
      </c>
      <c r="Q26">
        <v>-229.14583333333348</v>
      </c>
      <c r="R26">
        <v>69.562499999999773</v>
      </c>
      <c r="S26">
        <v>23.184782608695627</v>
      </c>
      <c r="T26">
        <v>-63.981884057971001</v>
      </c>
      <c r="U26">
        <v>104</v>
      </c>
      <c r="V26">
        <v>12</v>
      </c>
      <c r="W26">
        <v>13</v>
      </c>
      <c r="X26">
        <v>3.25</v>
      </c>
      <c r="Y26">
        <v>442.5</v>
      </c>
      <c r="Z26">
        <v>22</v>
      </c>
    </row>
    <row r="27" spans="1:26" x14ac:dyDescent="0.4">
      <c r="A27" s="3" t="s">
        <v>25</v>
      </c>
      <c r="B27" s="3">
        <v>1</v>
      </c>
      <c r="C27" s="3">
        <v>1</v>
      </c>
      <c r="D27" s="3">
        <v>2</v>
      </c>
      <c r="E27" s="3">
        <v>250807</v>
      </c>
      <c r="F27" s="3"/>
      <c r="G27" s="3"/>
      <c r="H27" s="3"/>
      <c r="I27" s="2"/>
      <c r="J27" s="4"/>
      <c r="K27" s="5"/>
      <c r="L27" s="3"/>
      <c r="M27">
        <v>11848</v>
      </c>
      <c r="N27">
        <v>1.32</v>
      </c>
      <c r="O27">
        <v>731.5</v>
      </c>
      <c r="P27">
        <v>404.7</v>
      </c>
      <c r="Q27">
        <v>8.1204710144926366</v>
      </c>
      <c r="R27">
        <v>218.07699275362302</v>
      </c>
      <c r="S27">
        <v>17.997282608695514</v>
      </c>
      <c r="T27">
        <v>-112.35054347826099</v>
      </c>
      <c r="U27">
        <v>105</v>
      </c>
      <c r="V27">
        <v>12</v>
      </c>
      <c r="W27">
        <v>11</v>
      </c>
      <c r="X27">
        <v>3.25</v>
      </c>
      <c r="Y27">
        <v>532.5</v>
      </c>
      <c r="Z27">
        <v>28</v>
      </c>
    </row>
    <row r="28" spans="1:26" x14ac:dyDescent="0.4">
      <c r="A28" s="3" t="s">
        <v>25</v>
      </c>
      <c r="B28" s="3">
        <v>1</v>
      </c>
      <c r="C28" s="3">
        <v>1</v>
      </c>
      <c r="D28" s="3">
        <v>3</v>
      </c>
      <c r="E28" s="3">
        <v>250905</v>
      </c>
      <c r="F28" s="3"/>
      <c r="G28" s="3"/>
      <c r="H28" s="3"/>
      <c r="I28" s="2"/>
      <c r="J28" s="4"/>
      <c r="K28" s="5"/>
      <c r="L28" s="3"/>
      <c r="M28">
        <v>7946.2222222222226</v>
      </c>
      <c r="N28">
        <v>1.21</v>
      </c>
      <c r="O28">
        <v>613.4</v>
      </c>
      <c r="P28">
        <v>337.7</v>
      </c>
      <c r="Q28">
        <v>53.422101449275374</v>
      </c>
      <c r="R28">
        <v>292.63043478260863</v>
      </c>
      <c r="S28">
        <v>122.04166666666674</v>
      </c>
      <c r="T28">
        <v>65.208333333333371</v>
      </c>
      <c r="U28">
        <v>108</v>
      </c>
      <c r="V28">
        <v>12</v>
      </c>
      <c r="W28">
        <v>12</v>
      </c>
      <c r="X28">
        <v>4</v>
      </c>
      <c r="Y28">
        <v>457.5</v>
      </c>
      <c r="Z28">
        <v>29</v>
      </c>
    </row>
    <row r="29" spans="1:26" x14ac:dyDescent="0.4">
      <c r="A29" t="s">
        <v>26</v>
      </c>
      <c r="B29">
        <v>0</v>
      </c>
      <c r="C29">
        <v>11</v>
      </c>
      <c r="D29">
        <v>1</v>
      </c>
      <c r="E29">
        <v>250702</v>
      </c>
      <c r="F29" s="3">
        <v>64</v>
      </c>
      <c r="G29" s="3" t="s">
        <v>19</v>
      </c>
      <c r="H29" s="3">
        <v>172</v>
      </c>
      <c r="I29" s="2">
        <f t="shared" si="0"/>
        <v>5</v>
      </c>
      <c r="J29" s="4">
        <f t="shared" si="3"/>
        <v>7.75</v>
      </c>
      <c r="K29">
        <f>L29/2.2</f>
        <v>85.909090909090907</v>
      </c>
      <c r="L29" s="3">
        <v>189</v>
      </c>
      <c r="M29">
        <v>16352.142857142857</v>
      </c>
      <c r="N29">
        <v>1.573</v>
      </c>
      <c r="O29">
        <v>939.8</v>
      </c>
      <c r="P29">
        <v>569.79999999999995</v>
      </c>
      <c r="Q29">
        <v>73.97192028985512</v>
      </c>
      <c r="R29">
        <v>532.79603096179187</v>
      </c>
      <c r="S29">
        <v>347.75543478260875</v>
      </c>
      <c r="T29">
        <v>117.17210144927537</v>
      </c>
      <c r="U29">
        <v>102</v>
      </c>
      <c r="V29">
        <v>12</v>
      </c>
      <c r="W29">
        <v>12</v>
      </c>
      <c r="X29">
        <v>2.75</v>
      </c>
      <c r="Y29">
        <v>517.5</v>
      </c>
      <c r="Z29">
        <v>32</v>
      </c>
    </row>
    <row r="30" spans="1:26" x14ac:dyDescent="0.4">
      <c r="A30" t="s">
        <v>26</v>
      </c>
      <c r="B30" s="3">
        <v>0</v>
      </c>
      <c r="C30" s="3">
        <v>11</v>
      </c>
      <c r="D30">
        <v>2</v>
      </c>
      <c r="E30" s="3">
        <v>250806</v>
      </c>
      <c r="F30" s="3"/>
      <c r="G30" s="3"/>
      <c r="H30" s="3"/>
      <c r="I30" s="2"/>
      <c r="J30" s="4"/>
      <c r="L30" s="3"/>
      <c r="M30">
        <v>24100.625</v>
      </c>
      <c r="N30">
        <v>1.833</v>
      </c>
      <c r="O30">
        <v>1154.3</v>
      </c>
      <c r="P30">
        <v>756.6</v>
      </c>
      <c r="Q30">
        <v>124.67210144927537</v>
      </c>
      <c r="R30">
        <v>247.98757763975163</v>
      </c>
      <c r="S30">
        <v>66.958333333333371</v>
      </c>
      <c r="T30">
        <v>-79.875</v>
      </c>
      <c r="U30">
        <v>104</v>
      </c>
      <c r="V30">
        <v>12</v>
      </c>
      <c r="W30">
        <v>14</v>
      </c>
      <c r="X30">
        <v>3</v>
      </c>
      <c r="Y30">
        <v>577.5</v>
      </c>
      <c r="Z30">
        <v>32</v>
      </c>
    </row>
    <row r="31" spans="1:26" x14ac:dyDescent="0.4">
      <c r="A31" t="s">
        <v>26</v>
      </c>
      <c r="B31" s="3">
        <v>0</v>
      </c>
      <c r="C31" s="3">
        <v>11</v>
      </c>
      <c r="D31">
        <v>3</v>
      </c>
      <c r="E31" s="3">
        <v>250905</v>
      </c>
      <c r="F31" s="3"/>
      <c r="G31" s="3"/>
      <c r="H31" s="3"/>
      <c r="I31" s="2"/>
      <c r="J31" s="4"/>
      <c r="L31" s="3"/>
      <c r="M31">
        <v>19023.875</v>
      </c>
      <c r="N31">
        <v>1.6479999999999999</v>
      </c>
      <c r="O31">
        <v>973.6</v>
      </c>
      <c r="P31">
        <v>608.6</v>
      </c>
      <c r="Q31">
        <v>177.9202898550725</v>
      </c>
      <c r="R31">
        <v>162.7771739130435</v>
      </c>
      <c r="S31">
        <v>146.5</v>
      </c>
      <c r="T31">
        <v>179.375</v>
      </c>
      <c r="U31">
        <v>106</v>
      </c>
      <c r="V31">
        <v>12</v>
      </c>
      <c r="W31">
        <v>12</v>
      </c>
      <c r="X31">
        <v>3</v>
      </c>
      <c r="Y31">
        <v>585</v>
      </c>
      <c r="Z31">
        <v>36</v>
      </c>
    </row>
    <row r="32" spans="1:26" x14ac:dyDescent="0.4">
      <c r="A32" t="s">
        <v>30</v>
      </c>
      <c r="B32">
        <v>0</v>
      </c>
      <c r="C32">
        <v>1</v>
      </c>
      <c r="D32">
        <v>1</v>
      </c>
      <c r="E32">
        <v>250702</v>
      </c>
      <c r="F32">
        <v>69</v>
      </c>
      <c r="G32" t="s">
        <v>16</v>
      </c>
      <c r="H32">
        <v>162</v>
      </c>
      <c r="I32" s="2">
        <f t="shared" si="0"/>
        <v>5</v>
      </c>
      <c r="J32" s="4">
        <f t="shared" si="3"/>
        <v>3.75</v>
      </c>
      <c r="K32">
        <f>L32/2.2</f>
        <v>83.181818181818173</v>
      </c>
      <c r="L32">
        <v>183</v>
      </c>
      <c r="M32">
        <v>2918.6666666666665</v>
      </c>
      <c r="N32">
        <v>1.042</v>
      </c>
      <c r="O32">
        <v>403.7</v>
      </c>
      <c r="P32">
        <v>139.5</v>
      </c>
      <c r="Q32">
        <v>108.97356719367588</v>
      </c>
      <c r="R32">
        <v>144.83522727272737</v>
      </c>
      <c r="S32">
        <v>165.64229249011851</v>
      </c>
      <c r="T32">
        <v>268.0513833992095</v>
      </c>
      <c r="U32">
        <v>76</v>
      </c>
      <c r="V32">
        <v>10</v>
      </c>
      <c r="W32">
        <v>14</v>
      </c>
      <c r="X32">
        <v>2</v>
      </c>
      <c r="Y32">
        <v>322.5</v>
      </c>
      <c r="Z32">
        <v>30</v>
      </c>
    </row>
    <row r="33" spans="1:26" x14ac:dyDescent="0.4">
      <c r="A33" t="s">
        <v>30</v>
      </c>
      <c r="B33">
        <v>0</v>
      </c>
      <c r="C33">
        <v>1</v>
      </c>
      <c r="D33">
        <v>2</v>
      </c>
      <c r="E33">
        <v>250807</v>
      </c>
      <c r="I33" s="2"/>
      <c r="J33" s="4"/>
      <c r="M33">
        <v>1506.1428571428571</v>
      </c>
      <c r="N33">
        <v>1.02</v>
      </c>
      <c r="O33">
        <v>324.8</v>
      </c>
      <c r="P33">
        <v>99</v>
      </c>
      <c r="Q33">
        <v>283.44622859025037</v>
      </c>
      <c r="R33">
        <v>339.94622859025037</v>
      </c>
      <c r="S33">
        <v>96.971014492753625</v>
      </c>
      <c r="T33">
        <v>314.05434782608688</v>
      </c>
      <c r="U33">
        <v>75</v>
      </c>
      <c r="V33">
        <v>10</v>
      </c>
      <c r="W33">
        <v>14</v>
      </c>
      <c r="X33">
        <v>0.5</v>
      </c>
      <c r="Y33">
        <v>360</v>
      </c>
      <c r="Z33">
        <v>33</v>
      </c>
    </row>
    <row r="34" spans="1:26" x14ac:dyDescent="0.4">
      <c r="A34" t="s">
        <v>30</v>
      </c>
      <c r="B34">
        <v>0</v>
      </c>
      <c r="C34">
        <v>1</v>
      </c>
      <c r="D34">
        <v>3</v>
      </c>
      <c r="E34">
        <v>250902</v>
      </c>
      <c r="I34" s="2"/>
      <c r="J34" s="4"/>
      <c r="M34">
        <v>2106.8571428571427</v>
      </c>
      <c r="N34">
        <v>1.054</v>
      </c>
      <c r="O34">
        <v>339.1</v>
      </c>
      <c r="P34">
        <v>129.6</v>
      </c>
      <c r="Q34">
        <v>183.46467391304361</v>
      </c>
      <c r="R34">
        <v>176.21467391304361</v>
      </c>
      <c r="S34">
        <v>64.771739130434753</v>
      </c>
      <c r="T34">
        <v>111.35507246376812</v>
      </c>
      <c r="U34">
        <v>81</v>
      </c>
      <c r="V34">
        <v>14</v>
      </c>
      <c r="W34">
        <v>14</v>
      </c>
      <c r="X34">
        <v>0</v>
      </c>
      <c r="Y34">
        <v>405</v>
      </c>
      <c r="Z34">
        <v>36</v>
      </c>
    </row>
    <row r="35" spans="1:26" x14ac:dyDescent="0.4">
      <c r="A35" t="s">
        <v>31</v>
      </c>
      <c r="B35">
        <v>1</v>
      </c>
      <c r="C35">
        <v>1</v>
      </c>
      <c r="D35">
        <v>1</v>
      </c>
      <c r="E35">
        <v>250714</v>
      </c>
      <c r="F35">
        <v>70</v>
      </c>
      <c r="G35" t="s">
        <v>16</v>
      </c>
      <c r="H35">
        <v>161</v>
      </c>
      <c r="I35" s="2">
        <f t="shared" ref="I35" si="5">INT(ROUND(H35 / 2.54 *8, 0) / 96)</f>
        <v>5</v>
      </c>
      <c r="J35" s="4">
        <f t="shared" ref="J35" si="6">ROUND((H35 / 2.54 - I35 * 12) * 8,0) / 8</f>
        <v>3.375</v>
      </c>
      <c r="K35">
        <f t="shared" ref="K35" si="7">L35/2.2</f>
        <v>76.72727272727272</v>
      </c>
      <c r="L35">
        <v>168.8</v>
      </c>
      <c r="M35">
        <v>2776.75</v>
      </c>
      <c r="N35">
        <v>1.0169999999999999</v>
      </c>
      <c r="O35">
        <v>258.3</v>
      </c>
      <c r="P35">
        <v>81.400000000000006</v>
      </c>
      <c r="Q35">
        <v>77.156291172595502</v>
      </c>
      <c r="R35">
        <v>593.91612554112567</v>
      </c>
      <c r="S35">
        <v>456.03409090909099</v>
      </c>
      <c r="T35">
        <v>174.81126482213449</v>
      </c>
      <c r="U35">
        <v>64</v>
      </c>
      <c r="V35">
        <v>12</v>
      </c>
      <c r="W35">
        <v>13</v>
      </c>
      <c r="X35">
        <v>0</v>
      </c>
      <c r="Y35">
        <v>457.5</v>
      </c>
      <c r="Z35">
        <v>18</v>
      </c>
    </row>
    <row r="36" spans="1:26" x14ac:dyDescent="0.4">
      <c r="A36" t="s">
        <v>31</v>
      </c>
      <c r="B36">
        <v>1</v>
      </c>
      <c r="C36">
        <v>1</v>
      </c>
      <c r="D36">
        <v>2</v>
      </c>
      <c r="E36">
        <v>250731</v>
      </c>
      <c r="I36" s="2"/>
      <c r="J36" s="4"/>
      <c r="M36">
        <v>2862</v>
      </c>
      <c r="N36">
        <v>1.008</v>
      </c>
      <c r="O36">
        <v>211.1</v>
      </c>
      <c r="P36">
        <v>72.8</v>
      </c>
      <c r="Q36">
        <v>-23.179924242424249</v>
      </c>
      <c r="R36">
        <v>-10.509469696969745</v>
      </c>
      <c r="S36">
        <v>-38.215579710144993</v>
      </c>
      <c r="T36">
        <v>-87.086956521739125</v>
      </c>
      <c r="U36">
        <v>58</v>
      </c>
      <c r="V36">
        <v>4</v>
      </c>
      <c r="W36">
        <v>6</v>
      </c>
      <c r="X36">
        <v>0</v>
      </c>
      <c r="Y36">
        <v>405</v>
      </c>
      <c r="Z36">
        <v>16</v>
      </c>
    </row>
    <row r="37" spans="1:26" x14ac:dyDescent="0.4">
      <c r="A37" t="s">
        <v>31</v>
      </c>
      <c r="B37">
        <v>1</v>
      </c>
      <c r="C37">
        <v>1</v>
      </c>
      <c r="D37">
        <v>3</v>
      </c>
      <c r="E37">
        <v>250902</v>
      </c>
      <c r="I37" s="2"/>
      <c r="J37" s="4"/>
      <c r="M37">
        <v>3028</v>
      </c>
      <c r="N37">
        <v>1.022</v>
      </c>
      <c r="O37">
        <v>278.60000000000002</v>
      </c>
      <c r="P37">
        <v>114.2</v>
      </c>
      <c r="Q37">
        <v>-234.91666666666652</v>
      </c>
      <c r="R37">
        <v>-410.24999999999989</v>
      </c>
      <c r="S37">
        <v>55.321557971014613</v>
      </c>
      <c r="T37">
        <v>-6.8124999999998863</v>
      </c>
      <c r="U37">
        <v>60</v>
      </c>
      <c r="V37">
        <v>6</v>
      </c>
      <c r="W37">
        <v>8</v>
      </c>
      <c r="X37">
        <v>1</v>
      </c>
      <c r="Y37">
        <v>412.5</v>
      </c>
      <c r="Z37">
        <v>22</v>
      </c>
    </row>
    <row r="38" spans="1:26" x14ac:dyDescent="0.4">
      <c r="A38" t="s">
        <v>32</v>
      </c>
      <c r="B38">
        <v>1</v>
      </c>
      <c r="C38">
        <v>11</v>
      </c>
      <c r="D38">
        <v>1</v>
      </c>
      <c r="E38">
        <v>250716</v>
      </c>
      <c r="F38">
        <v>66</v>
      </c>
      <c r="G38" t="s">
        <v>16</v>
      </c>
      <c r="H38">
        <v>163.5</v>
      </c>
      <c r="I38" s="2">
        <f t="shared" ref="I38:I41" si="8">INT(ROUND(H38 / 2.54 *8, 0) / 96)</f>
        <v>5</v>
      </c>
      <c r="J38" s="4">
        <f t="shared" ref="J38:J41" si="9">ROUND((H38 / 2.54 - I38 * 12) * 8,0) / 8</f>
        <v>4.375</v>
      </c>
      <c r="K38">
        <f t="shared" ref="K38:K41" si="10">L38/2.2</f>
        <v>76.36363636363636</v>
      </c>
      <c r="L38">
        <v>168</v>
      </c>
      <c r="M38">
        <v>2980.1428571428573</v>
      </c>
      <c r="N38">
        <v>1.02</v>
      </c>
      <c r="O38">
        <v>299.60000000000002</v>
      </c>
      <c r="P38">
        <v>130.1</v>
      </c>
      <c r="Q38">
        <v>181.82518115942025</v>
      </c>
      <c r="R38">
        <v>1354.2299430641822</v>
      </c>
      <c r="S38">
        <v>145.78713768115927</v>
      </c>
      <c r="T38">
        <v>78.453804347826008</v>
      </c>
      <c r="U38">
        <v>107</v>
      </c>
      <c r="V38">
        <v>8</v>
      </c>
      <c r="W38">
        <v>12</v>
      </c>
      <c r="X38">
        <v>1.25</v>
      </c>
      <c r="Y38">
        <v>375</v>
      </c>
      <c r="Z38">
        <v>22</v>
      </c>
    </row>
    <row r="39" spans="1:26" x14ac:dyDescent="0.4">
      <c r="A39" t="s">
        <v>32</v>
      </c>
      <c r="B39">
        <v>1</v>
      </c>
      <c r="C39">
        <v>11</v>
      </c>
      <c r="D39">
        <v>2</v>
      </c>
      <c r="E39">
        <v>250818</v>
      </c>
      <c r="I39" s="2"/>
      <c r="J39" s="4"/>
      <c r="M39">
        <v>1929.375</v>
      </c>
      <c r="N39">
        <v>1.0069999999999999</v>
      </c>
      <c r="O39">
        <v>230.3</v>
      </c>
      <c r="P39">
        <v>87.4</v>
      </c>
      <c r="Q39">
        <v>16.347826086956502</v>
      </c>
      <c r="R39">
        <v>231.5533596837945</v>
      </c>
      <c r="S39">
        <v>-113.53894927536214</v>
      </c>
      <c r="T39">
        <v>-64.980978260869392</v>
      </c>
      <c r="U39">
        <v>107</v>
      </c>
      <c r="V39">
        <v>8</v>
      </c>
      <c r="W39">
        <v>12</v>
      </c>
      <c r="X39">
        <v>0.5</v>
      </c>
      <c r="Y39">
        <v>300</v>
      </c>
      <c r="Z39">
        <v>26</v>
      </c>
    </row>
    <row r="40" spans="1:26" x14ac:dyDescent="0.4">
      <c r="A40" t="s">
        <v>32</v>
      </c>
      <c r="B40">
        <v>1</v>
      </c>
      <c r="C40">
        <v>11</v>
      </c>
      <c r="D40">
        <v>3</v>
      </c>
      <c r="E40">
        <v>250917</v>
      </c>
      <c r="I40" s="2"/>
      <c r="J40" s="4"/>
      <c r="M40">
        <v>3637.625</v>
      </c>
      <c r="N40">
        <v>1.0389999999999999</v>
      </c>
      <c r="O40">
        <v>343.5</v>
      </c>
      <c r="P40">
        <v>145.30000000000001</v>
      </c>
      <c r="Q40">
        <v>-107.25</v>
      </c>
      <c r="R40">
        <v>221.34999999999991</v>
      </c>
      <c r="S40">
        <v>58.458333333333371</v>
      </c>
      <c r="T40">
        <v>5.0416666666666288</v>
      </c>
      <c r="U40">
        <v>110</v>
      </c>
      <c r="V40">
        <v>8</v>
      </c>
      <c r="W40">
        <v>14</v>
      </c>
      <c r="X40">
        <v>1.5</v>
      </c>
      <c r="Y40">
        <v>352.5</v>
      </c>
      <c r="Z40">
        <v>26</v>
      </c>
    </row>
    <row r="41" spans="1:26" x14ac:dyDescent="0.4">
      <c r="A41" t="s">
        <v>33</v>
      </c>
      <c r="B41">
        <v>0</v>
      </c>
      <c r="C41">
        <v>1</v>
      </c>
      <c r="D41">
        <v>1</v>
      </c>
      <c r="E41">
        <v>250715</v>
      </c>
      <c r="F41">
        <v>72</v>
      </c>
      <c r="G41" t="s">
        <v>16</v>
      </c>
      <c r="H41">
        <v>155.5</v>
      </c>
      <c r="I41" s="2">
        <f t="shared" si="8"/>
        <v>5</v>
      </c>
      <c r="J41" s="4">
        <f t="shared" si="9"/>
        <v>1.25</v>
      </c>
      <c r="K41">
        <f t="shared" si="10"/>
        <v>57.090909090909086</v>
      </c>
      <c r="L41">
        <v>125.6</v>
      </c>
      <c r="M41">
        <v>8579.5714285714294</v>
      </c>
      <c r="N41">
        <v>1.143</v>
      </c>
      <c r="O41">
        <v>628.79999999999995</v>
      </c>
      <c r="P41">
        <v>287</v>
      </c>
      <c r="Q41">
        <v>303.13041125541133</v>
      </c>
      <c r="R41">
        <v>-75.696969696969745</v>
      </c>
      <c r="S41">
        <v>-42.034090909090878</v>
      </c>
      <c r="T41">
        <v>58.882575757575864</v>
      </c>
      <c r="U41">
        <v>102</v>
      </c>
      <c r="V41">
        <v>10</v>
      </c>
      <c r="W41">
        <v>13</v>
      </c>
      <c r="X41">
        <v>2</v>
      </c>
      <c r="Y41">
        <v>375</v>
      </c>
      <c r="Z41">
        <v>16</v>
      </c>
    </row>
    <row r="42" spans="1:26" x14ac:dyDescent="0.4">
      <c r="A42" t="s">
        <v>33</v>
      </c>
      <c r="B42">
        <v>0</v>
      </c>
      <c r="C42">
        <v>1</v>
      </c>
      <c r="D42">
        <v>2</v>
      </c>
      <c r="E42">
        <v>250818</v>
      </c>
      <c r="M42">
        <v>8413.7142857142862</v>
      </c>
      <c r="N42">
        <v>1.1220000000000001</v>
      </c>
      <c r="O42">
        <v>617.5</v>
      </c>
      <c r="P42">
        <v>273.3</v>
      </c>
      <c r="Q42">
        <v>296.34019151138716</v>
      </c>
      <c r="R42">
        <v>223.46648550724638</v>
      </c>
      <c r="S42">
        <v>213.37812911725962</v>
      </c>
      <c r="T42">
        <v>21.764492753623244</v>
      </c>
      <c r="U42">
        <v>98</v>
      </c>
      <c r="V42">
        <v>10</v>
      </c>
      <c r="W42">
        <v>12</v>
      </c>
      <c r="X42">
        <v>1.75</v>
      </c>
      <c r="Y42">
        <v>390</v>
      </c>
      <c r="Z42">
        <v>20</v>
      </c>
    </row>
    <row r="43" spans="1:26" x14ac:dyDescent="0.4">
      <c r="A43" t="s">
        <v>33</v>
      </c>
      <c r="B43">
        <v>0</v>
      </c>
      <c r="C43">
        <v>1</v>
      </c>
      <c r="D43">
        <v>3</v>
      </c>
      <c r="E43">
        <v>250917</v>
      </c>
      <c r="M43">
        <v>2832.625</v>
      </c>
      <c r="N43">
        <v>1.0289999999999999</v>
      </c>
      <c r="O43">
        <v>372.2</v>
      </c>
      <c r="P43">
        <v>122</v>
      </c>
      <c r="Q43">
        <v>114.44293478260875</v>
      </c>
      <c r="R43">
        <v>123.7327898550725</v>
      </c>
      <c r="S43">
        <v>170.52083333333337</v>
      </c>
      <c r="T43">
        <v>69.645833333333371</v>
      </c>
      <c r="U43">
        <v>105</v>
      </c>
      <c r="V43">
        <v>11</v>
      </c>
      <c r="W43">
        <v>14</v>
      </c>
      <c r="X43">
        <v>2</v>
      </c>
      <c r="Y43">
        <v>405</v>
      </c>
      <c r="Z43">
        <v>20</v>
      </c>
    </row>
    <row r="56" spans="13:29" ht="13.5" customHeight="1" x14ac:dyDescent="0.4">
      <c r="M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3:29" x14ac:dyDescent="0.4">
      <c r="M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3:29" x14ac:dyDescent="0.4">
      <c r="M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3:29" x14ac:dyDescent="0.4">
      <c r="M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3:29" x14ac:dyDescent="0.4">
      <c r="M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3:29" x14ac:dyDescent="0.4">
      <c r="M6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343E-F78D-48EF-B03D-4DF9244A6D25}">
  <dimension ref="A1:O23"/>
  <sheetViews>
    <sheetView workbookViewId="0">
      <selection activeCell="O20" sqref="O20"/>
    </sheetView>
  </sheetViews>
  <sheetFormatPr defaultRowHeight="14.6" x14ac:dyDescent="0.4"/>
  <sheetData>
    <row r="1" spans="1:12" x14ac:dyDescent="0.4">
      <c r="A1" t="s">
        <v>57</v>
      </c>
      <c r="B1" t="s">
        <v>68</v>
      </c>
      <c r="C1" t="s">
        <v>69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4">
      <c r="A2" t="s">
        <v>15</v>
      </c>
      <c r="B2">
        <v>1</v>
      </c>
      <c r="C2">
        <v>1</v>
      </c>
      <c r="D2">
        <v>520.94229442055496</v>
      </c>
      <c r="E2">
        <v>470.38487386073899</v>
      </c>
      <c r="F2">
        <v>434.69876775558902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</row>
    <row r="3" spans="1:12" x14ac:dyDescent="0.4">
      <c r="A3" t="s">
        <v>17</v>
      </c>
      <c r="B3">
        <v>0</v>
      </c>
      <c r="C3">
        <v>1</v>
      </c>
      <c r="D3">
        <v>494.49967253736298</v>
      </c>
      <c r="E3">
        <v>464.79146531962601</v>
      </c>
      <c r="F3">
        <v>474.94536190317001</v>
      </c>
      <c r="G3">
        <v>456.01591519055302</v>
      </c>
      <c r="H3">
        <v>454.42027501756502</v>
      </c>
      <c r="I3">
        <v>425.75990226337399</v>
      </c>
      <c r="J3">
        <v>425.57079735393597</v>
      </c>
      <c r="K3">
        <v>414.96834024204298</v>
      </c>
      <c r="L3">
        <v>397.98407367140402</v>
      </c>
    </row>
    <row r="4" spans="1:12" x14ac:dyDescent="0.4">
      <c r="A4" t="s">
        <v>18</v>
      </c>
      <c r="B4">
        <v>1</v>
      </c>
      <c r="C4">
        <v>11</v>
      </c>
      <c r="D4">
        <v>454.53059718200598</v>
      </c>
      <c r="E4">
        <v>385.45865210069098</v>
      </c>
      <c r="F4">
        <v>413.12946473257398</v>
      </c>
      <c r="G4">
        <v>423.51350308641997</v>
      </c>
      <c r="H4">
        <v>400.32265267994597</v>
      </c>
      <c r="I4">
        <v>393.704115853659</v>
      </c>
      <c r="J4">
        <v>395.40141633006903</v>
      </c>
      <c r="K4">
        <v>385.85996636139998</v>
      </c>
      <c r="L4">
        <v>393.93751558681203</v>
      </c>
    </row>
    <row r="5" spans="1:12" x14ac:dyDescent="0.4">
      <c r="A5" t="s">
        <v>20</v>
      </c>
      <c r="B5">
        <v>0</v>
      </c>
      <c r="C5">
        <v>11</v>
      </c>
      <c r="D5">
        <v>517.85110856209496</v>
      </c>
      <c r="E5">
        <v>505.45965455245101</v>
      </c>
      <c r="F5">
        <v>496.57008465355699</v>
      </c>
      <c r="G5">
        <v>488.80984794204301</v>
      </c>
      <c r="H5">
        <v>497.891291244071</v>
      </c>
      <c r="I5">
        <v>505.63354430379701</v>
      </c>
      <c r="J5">
        <v>488.52634967002098</v>
      </c>
      <c r="K5">
        <v>481.007162712629</v>
      </c>
      <c r="L5">
        <v>495.16501572327002</v>
      </c>
    </row>
    <row r="6" spans="1:12" x14ac:dyDescent="0.4">
      <c r="A6" t="s">
        <v>21</v>
      </c>
      <c r="B6">
        <v>1</v>
      </c>
      <c r="C6">
        <v>1</v>
      </c>
      <c r="D6">
        <v>506.237981571783</v>
      </c>
      <c r="E6">
        <v>514.83269124931201</v>
      </c>
      <c r="F6">
        <v>541.61210625480999</v>
      </c>
      <c r="G6">
        <v>523.95485350489503</v>
      </c>
      <c r="H6">
        <v>539.78619567280896</v>
      </c>
      <c r="I6">
        <v>541.74377752221403</v>
      </c>
      <c r="J6" t="s">
        <v>67</v>
      </c>
      <c r="K6" t="s">
        <v>67</v>
      </c>
      <c r="L6" t="s">
        <v>67</v>
      </c>
    </row>
    <row r="7" spans="1:12" x14ac:dyDescent="0.4">
      <c r="A7" t="s">
        <v>22</v>
      </c>
      <c r="B7">
        <v>0</v>
      </c>
      <c r="C7">
        <v>1</v>
      </c>
      <c r="D7">
        <v>551.06557929352903</v>
      </c>
      <c r="E7">
        <v>517.97335311070196</v>
      </c>
      <c r="F7">
        <v>520.20994394868603</v>
      </c>
      <c r="G7">
        <v>517.605163043478</v>
      </c>
      <c r="H7">
        <v>512.407853582195</v>
      </c>
      <c r="I7">
        <v>494.40107557051999</v>
      </c>
      <c r="J7">
        <v>488.71587255113798</v>
      </c>
      <c r="K7">
        <v>481.23252095642101</v>
      </c>
      <c r="L7">
        <v>486.04719242110502</v>
      </c>
    </row>
    <row r="8" spans="1:12" x14ac:dyDescent="0.4">
      <c r="A8" t="s">
        <v>23</v>
      </c>
      <c r="B8">
        <v>0</v>
      </c>
      <c r="C8">
        <v>11</v>
      </c>
      <c r="D8">
        <v>518.17889510716998</v>
      </c>
      <c r="E8">
        <v>437.40122091357699</v>
      </c>
      <c r="F8">
        <v>413.12880450757899</v>
      </c>
      <c r="G8">
        <v>419.20568415637899</v>
      </c>
      <c r="H8">
        <v>389.54431237218802</v>
      </c>
      <c r="I8">
        <v>394.55408135099901</v>
      </c>
      <c r="J8">
        <v>397.444846292948</v>
      </c>
      <c r="K8">
        <v>378.08114711934201</v>
      </c>
      <c r="L8">
        <v>377.08579545454501</v>
      </c>
    </row>
    <row r="9" spans="1:12" x14ac:dyDescent="0.4">
      <c r="A9" t="s">
        <v>24</v>
      </c>
      <c r="B9">
        <v>1</v>
      </c>
      <c r="C9">
        <v>11</v>
      </c>
      <c r="D9">
        <v>499.80134373973902</v>
      </c>
      <c r="E9">
        <v>479.62326384400802</v>
      </c>
      <c r="F9">
        <v>473.04128634844602</v>
      </c>
      <c r="G9">
        <v>459.353075802793</v>
      </c>
      <c r="H9">
        <v>454.998515002403</v>
      </c>
      <c r="I9">
        <v>447.49151234567898</v>
      </c>
      <c r="J9">
        <v>451.63139329806</v>
      </c>
      <c r="K9">
        <v>443.769136714936</v>
      </c>
      <c r="L9">
        <v>434.738758319091</v>
      </c>
    </row>
    <row r="10" spans="1:12" x14ac:dyDescent="0.4">
      <c r="A10" t="s">
        <v>25</v>
      </c>
      <c r="B10">
        <v>1</v>
      </c>
      <c r="C10">
        <v>1</v>
      </c>
      <c r="D10">
        <v>471.49356936573099</v>
      </c>
      <c r="E10">
        <v>425.01169590643298</v>
      </c>
      <c r="F10">
        <v>406.46904055677402</v>
      </c>
      <c r="G10">
        <v>423.21500274580598</v>
      </c>
      <c r="H10">
        <v>396.903887487151</v>
      </c>
      <c r="I10">
        <v>407.00258816173499</v>
      </c>
      <c r="J10">
        <v>409.12899454652199</v>
      </c>
      <c r="K10">
        <v>400.73799961751803</v>
      </c>
      <c r="L10">
        <v>409.68968180413998</v>
      </c>
    </row>
    <row r="11" spans="1:12" x14ac:dyDescent="0.4">
      <c r="A11" t="s">
        <v>26</v>
      </c>
      <c r="B11">
        <v>0</v>
      </c>
      <c r="C11">
        <v>11</v>
      </c>
      <c r="D11">
        <v>483.15825334086202</v>
      </c>
      <c r="E11">
        <v>471.58097257991199</v>
      </c>
      <c r="F11">
        <v>470.25922253870903</v>
      </c>
      <c r="G11">
        <v>465.79090927970799</v>
      </c>
      <c r="H11">
        <v>431.07993709550601</v>
      </c>
      <c r="I11">
        <v>425.72733469666002</v>
      </c>
      <c r="J11">
        <v>443.69631429395503</v>
      </c>
      <c r="K11">
        <v>434.49102132435502</v>
      </c>
      <c r="L11">
        <v>439.89829117735599</v>
      </c>
    </row>
    <row r="12" spans="1:12" x14ac:dyDescent="0.4">
      <c r="A12" t="s">
        <v>30</v>
      </c>
      <c r="B12">
        <v>0</v>
      </c>
      <c r="C12">
        <v>1</v>
      </c>
      <c r="D12">
        <v>513.24505333228501</v>
      </c>
      <c r="E12">
        <v>480.59949263544797</v>
      </c>
      <c r="F12">
        <v>468.81004149749202</v>
      </c>
      <c r="G12">
        <v>460.483361197357</v>
      </c>
      <c r="H12">
        <v>454.311611649376</v>
      </c>
      <c r="I12">
        <v>456.45439588143199</v>
      </c>
      <c r="J12">
        <v>471.96429507337501</v>
      </c>
      <c r="K12">
        <v>462.85628930817597</v>
      </c>
      <c r="L12">
        <v>439.40712624287499</v>
      </c>
    </row>
    <row r="13" spans="1:12" x14ac:dyDescent="0.4">
      <c r="A13" t="s">
        <v>31</v>
      </c>
      <c r="B13">
        <v>1</v>
      </c>
      <c r="C13">
        <v>1</v>
      </c>
      <c r="D13">
        <v>487.25105695250897</v>
      </c>
      <c r="E13">
        <v>462.63624765937999</v>
      </c>
      <c r="F13">
        <v>452.349474231079</v>
      </c>
      <c r="G13">
        <v>446.21425688089403</v>
      </c>
      <c r="H13" t="s">
        <v>67</v>
      </c>
      <c r="I13" t="s">
        <v>67</v>
      </c>
      <c r="J13" t="s">
        <v>67</v>
      </c>
      <c r="K13" t="s">
        <v>67</v>
      </c>
      <c r="L13" t="s">
        <v>67</v>
      </c>
    </row>
    <row r="14" spans="1:12" x14ac:dyDescent="0.4">
      <c r="A14" t="s">
        <v>32</v>
      </c>
      <c r="B14">
        <v>1</v>
      </c>
      <c r="C14">
        <v>11</v>
      </c>
      <c r="D14">
        <v>486.26195501339998</v>
      </c>
      <c r="E14">
        <v>476.96705246913598</v>
      </c>
      <c r="F14">
        <v>467.00749406190897</v>
      </c>
      <c r="G14">
        <v>484.178251274883</v>
      </c>
      <c r="H14">
        <v>444.69389302531198</v>
      </c>
      <c r="I14">
        <v>493.95292443064199</v>
      </c>
      <c r="J14">
        <v>476.08782991619597</v>
      </c>
      <c r="K14">
        <v>478.42829653357398</v>
      </c>
      <c r="L14">
        <v>481.03898643140002</v>
      </c>
    </row>
    <row r="15" spans="1:12" x14ac:dyDescent="0.4">
      <c r="A15" t="s">
        <v>33</v>
      </c>
      <c r="B15">
        <v>0</v>
      </c>
      <c r="C15">
        <v>1</v>
      </c>
      <c r="D15">
        <v>509.43833911265199</v>
      </c>
      <c r="E15">
        <v>447.170899757222</v>
      </c>
      <c r="F15">
        <v>413.00024933133898</v>
      </c>
      <c r="G15">
        <v>394.39956422721502</v>
      </c>
      <c r="H15">
        <v>385.649206349206</v>
      </c>
      <c r="I15">
        <v>408.32264207217702</v>
      </c>
      <c r="J15">
        <v>393.49660277862301</v>
      </c>
      <c r="K15">
        <v>394.19335722586999</v>
      </c>
      <c r="L15">
        <v>404.14715152936202</v>
      </c>
    </row>
    <row r="17" spans="1:15" x14ac:dyDescent="0.4">
      <c r="A17">
        <v>494.49967253736298</v>
      </c>
      <c r="B17">
        <v>520.94229442055496</v>
      </c>
      <c r="D17">
        <f>AVERAGEIF(B2:B15,0,D2:D15)</f>
        <v>512.49098589799371</v>
      </c>
      <c r="L17">
        <v>397.98407367140402</v>
      </c>
      <c r="M17">
        <v>393.93751558681203</v>
      </c>
      <c r="O17">
        <f>AVERAGE(L17:L23)</f>
        <v>434.24780660284529</v>
      </c>
    </row>
    <row r="18" spans="1:15" x14ac:dyDescent="0.4">
      <c r="A18">
        <v>517.85110856209496</v>
      </c>
      <c r="B18">
        <v>454.53059718200598</v>
      </c>
      <c r="D18">
        <f>STDEV(A17:A23)</f>
        <v>21.381714569451862</v>
      </c>
      <c r="L18">
        <v>495.16501572327002</v>
      </c>
      <c r="M18">
        <v>434.738758319091</v>
      </c>
      <c r="O18">
        <f>STDEV(L17:L23)</f>
        <v>44.611718516064407</v>
      </c>
    </row>
    <row r="19" spans="1:15" x14ac:dyDescent="0.4">
      <c r="A19">
        <v>551.06557929352903</v>
      </c>
      <c r="B19">
        <v>506.237981571783</v>
      </c>
      <c r="D19">
        <f>AVERAGEIF(B2:B15,1,D2:D15)</f>
        <v>489.50268546367471</v>
      </c>
      <c r="L19">
        <v>486.04719242110502</v>
      </c>
      <c r="M19">
        <v>409.68968180413998</v>
      </c>
      <c r="O19">
        <f>AVERAGE(M17:M23)</f>
        <v>429.85123553536073</v>
      </c>
    </row>
    <row r="20" spans="1:15" x14ac:dyDescent="0.4">
      <c r="A20">
        <v>518.17889510716998</v>
      </c>
      <c r="B20">
        <v>499.80134373973902</v>
      </c>
      <c r="D20">
        <f>STDEV(B17:B23)</f>
        <v>22.126638906110571</v>
      </c>
      <c r="L20">
        <v>377.08579545454501</v>
      </c>
      <c r="M20">
        <v>481.03898643140002</v>
      </c>
      <c r="O20">
        <f>STDEV(M17:M20)</f>
        <v>38.03663694455711</v>
      </c>
    </row>
    <row r="21" spans="1:15" x14ac:dyDescent="0.4">
      <c r="A21">
        <v>483.15825334086202</v>
      </c>
      <c r="B21">
        <v>471.49356936573099</v>
      </c>
      <c r="L21">
        <v>439.89829117735599</v>
      </c>
    </row>
    <row r="22" spans="1:15" x14ac:dyDescent="0.4">
      <c r="A22">
        <v>513.24505333228501</v>
      </c>
      <c r="B22">
        <v>487.25105695250897</v>
      </c>
      <c r="L22">
        <v>439.40712624287499</v>
      </c>
    </row>
    <row r="23" spans="1:15" x14ac:dyDescent="0.4">
      <c r="A23">
        <v>509.43833911265199</v>
      </c>
      <c r="B23">
        <v>486.26195501339998</v>
      </c>
      <c r="L23">
        <v>404.14715152936202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73DA-27A2-44BA-8DE2-4055DE71022B}">
  <dimension ref="A1:P26"/>
  <sheetViews>
    <sheetView workbookViewId="0">
      <selection activeCell="K18" sqref="K18"/>
    </sheetView>
  </sheetViews>
  <sheetFormatPr defaultRowHeight="14.6" x14ac:dyDescent="0.4"/>
  <sheetData>
    <row r="1" spans="1:12" x14ac:dyDescent="0.4">
      <c r="A1" t="s">
        <v>57</v>
      </c>
      <c r="B1" t="s">
        <v>68</v>
      </c>
      <c r="C1" t="s">
        <v>69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4">
      <c r="A2" t="s">
        <v>15</v>
      </c>
      <c r="B2">
        <v>1</v>
      </c>
      <c r="C2">
        <v>1</v>
      </c>
      <c r="D2">
        <v>3.8888888888888902</v>
      </c>
      <c r="E2">
        <v>1.80555555555556</v>
      </c>
      <c r="F2">
        <v>1.94444444444444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</row>
    <row r="3" spans="1:12" x14ac:dyDescent="0.4">
      <c r="A3" t="s">
        <v>17</v>
      </c>
      <c r="B3">
        <v>0</v>
      </c>
      <c r="C3">
        <v>1</v>
      </c>
      <c r="D3">
        <v>4.3055555555555598</v>
      </c>
      <c r="E3">
        <v>4.5833333333333304</v>
      </c>
      <c r="F3">
        <v>1.6666666666666701</v>
      </c>
      <c r="G3">
        <v>2.9166666666666701</v>
      </c>
      <c r="H3">
        <v>2.2222222222222201</v>
      </c>
      <c r="I3">
        <v>1.5277777777777799</v>
      </c>
      <c r="J3">
        <v>2.3611111111111098</v>
      </c>
      <c r="K3">
        <v>1.6666666666666701</v>
      </c>
      <c r="L3">
        <v>2.3611111111111098</v>
      </c>
    </row>
    <row r="4" spans="1:12" x14ac:dyDescent="0.4">
      <c r="A4" t="s">
        <v>18</v>
      </c>
      <c r="B4">
        <v>1</v>
      </c>
      <c r="C4">
        <v>11</v>
      </c>
      <c r="D4">
        <v>1.5277777777777799</v>
      </c>
      <c r="E4">
        <v>5</v>
      </c>
      <c r="F4">
        <v>2.6388888888888902</v>
      </c>
      <c r="G4">
        <v>2.3611111111111098</v>
      </c>
      <c r="H4">
        <v>2.7777777777777799</v>
      </c>
      <c r="I4">
        <v>3.0555555555555598</v>
      </c>
      <c r="J4">
        <v>2.9166666666666701</v>
      </c>
      <c r="K4">
        <v>2.3611111111111098</v>
      </c>
      <c r="L4">
        <v>2.5</v>
      </c>
    </row>
    <row r="5" spans="1:12" x14ac:dyDescent="0.4">
      <c r="A5" t="s">
        <v>20</v>
      </c>
      <c r="B5">
        <v>0</v>
      </c>
      <c r="C5">
        <v>11</v>
      </c>
      <c r="D5">
        <v>3.1944444444444402</v>
      </c>
      <c r="E5">
        <v>0.69444444444444497</v>
      </c>
      <c r="F5">
        <v>0.83333333333333304</v>
      </c>
      <c r="G5">
        <v>1.5277777777777799</v>
      </c>
      <c r="H5">
        <v>0.83333333333333304</v>
      </c>
      <c r="I5">
        <v>0.97222222222222199</v>
      </c>
      <c r="J5">
        <v>0.83333333333333304</v>
      </c>
      <c r="K5">
        <v>0.83333333333333304</v>
      </c>
      <c r="L5">
        <v>0.41666666666666702</v>
      </c>
    </row>
    <row r="6" spans="1:12" x14ac:dyDescent="0.4">
      <c r="A6" t="s">
        <v>21</v>
      </c>
      <c r="B6">
        <v>1</v>
      </c>
      <c r="C6">
        <v>1</v>
      </c>
      <c r="D6">
        <v>5</v>
      </c>
      <c r="E6">
        <v>1.80555555555556</v>
      </c>
      <c r="F6">
        <v>2.9166666666666701</v>
      </c>
      <c r="G6">
        <v>1.25</v>
      </c>
      <c r="H6">
        <v>1.6666666666666701</v>
      </c>
      <c r="I6">
        <v>0.69444444444444497</v>
      </c>
      <c r="J6" t="s">
        <v>67</v>
      </c>
      <c r="K6" t="s">
        <v>67</v>
      </c>
      <c r="L6" t="s">
        <v>67</v>
      </c>
    </row>
    <row r="7" spans="1:12" x14ac:dyDescent="0.4">
      <c r="A7" t="s">
        <v>22</v>
      </c>
      <c r="B7">
        <v>0</v>
      </c>
      <c r="C7">
        <v>1</v>
      </c>
      <c r="D7">
        <v>13.1944444444444</v>
      </c>
      <c r="E7">
        <v>3.1944444444444402</v>
      </c>
      <c r="F7">
        <v>3.1944444444444402</v>
      </c>
      <c r="G7">
        <v>2.2222222222222201</v>
      </c>
      <c r="H7">
        <v>2.0833333333333299</v>
      </c>
      <c r="I7">
        <v>2.0833333333333299</v>
      </c>
      <c r="J7">
        <v>2.7777777777777799</v>
      </c>
      <c r="K7">
        <v>2.0833333333333299</v>
      </c>
      <c r="L7">
        <v>2.3611111111111098</v>
      </c>
    </row>
    <row r="8" spans="1:12" x14ac:dyDescent="0.4">
      <c r="A8" t="s">
        <v>23</v>
      </c>
      <c r="B8">
        <v>0</v>
      </c>
      <c r="C8">
        <v>11</v>
      </c>
      <c r="D8">
        <v>2.5</v>
      </c>
      <c r="E8">
        <v>0.55555555555555602</v>
      </c>
      <c r="F8">
        <v>0.41666666666666702</v>
      </c>
      <c r="G8">
        <v>0.41666666666666702</v>
      </c>
      <c r="H8">
        <v>0.41666666666666702</v>
      </c>
      <c r="I8">
        <v>1.1111111111111101</v>
      </c>
      <c r="J8">
        <v>0.55555555555555602</v>
      </c>
      <c r="K8">
        <v>0.55555555555555602</v>
      </c>
      <c r="L8">
        <v>0.69444444444444497</v>
      </c>
    </row>
    <row r="9" spans="1:12" x14ac:dyDescent="0.4">
      <c r="A9" t="s">
        <v>24</v>
      </c>
      <c r="B9">
        <v>1</v>
      </c>
      <c r="C9">
        <v>11</v>
      </c>
      <c r="D9">
        <v>10.4166666666667</v>
      </c>
      <c r="E9">
        <v>3.3333333333333299</v>
      </c>
      <c r="F9">
        <v>1.3888888888888899</v>
      </c>
      <c r="G9">
        <v>1.6666666666666701</v>
      </c>
      <c r="H9">
        <v>1.25</v>
      </c>
      <c r="I9">
        <v>0.55555555555555602</v>
      </c>
      <c r="J9">
        <v>0.97222222222222199</v>
      </c>
      <c r="K9">
        <v>2.3611111111111098</v>
      </c>
      <c r="L9">
        <v>1.1111111111111101</v>
      </c>
    </row>
    <row r="10" spans="1:12" x14ac:dyDescent="0.4">
      <c r="A10" t="s">
        <v>25</v>
      </c>
      <c r="B10">
        <v>1</v>
      </c>
      <c r="C10">
        <v>1</v>
      </c>
      <c r="D10">
        <v>7.5</v>
      </c>
      <c r="E10">
        <v>4.7222222222222197</v>
      </c>
      <c r="F10">
        <v>5</v>
      </c>
      <c r="G10">
        <v>2.6388888888888902</v>
      </c>
      <c r="H10">
        <v>3.3333333333333299</v>
      </c>
      <c r="I10">
        <v>3.4722222222222201</v>
      </c>
      <c r="J10">
        <v>2.9166666666666701</v>
      </c>
      <c r="K10">
        <v>3.0555555555555598</v>
      </c>
      <c r="L10">
        <v>3.6111111111111098</v>
      </c>
    </row>
    <row r="11" spans="1:12" x14ac:dyDescent="0.4">
      <c r="A11" t="s">
        <v>26</v>
      </c>
      <c r="B11">
        <v>0</v>
      </c>
      <c r="C11">
        <v>11</v>
      </c>
      <c r="D11">
        <v>2.6388888888888902</v>
      </c>
      <c r="E11">
        <v>0.97222222222222199</v>
      </c>
      <c r="F11">
        <v>0.83333333333333304</v>
      </c>
      <c r="G11">
        <v>0.69444444444444497</v>
      </c>
      <c r="H11">
        <v>2.3611111111111098</v>
      </c>
      <c r="I11">
        <v>1.5277777777777799</v>
      </c>
      <c r="J11">
        <v>1.1111111111111101</v>
      </c>
      <c r="K11">
        <v>1.25</v>
      </c>
      <c r="L11">
        <v>0.83333333333333304</v>
      </c>
    </row>
    <row r="12" spans="1:12" x14ac:dyDescent="0.4">
      <c r="A12" t="s">
        <v>30</v>
      </c>
      <c r="B12">
        <v>0</v>
      </c>
      <c r="C12">
        <v>1</v>
      </c>
      <c r="D12">
        <v>4.0277777777777803</v>
      </c>
      <c r="E12">
        <v>1.5277777777777799</v>
      </c>
      <c r="F12">
        <v>1.5277777777777799</v>
      </c>
      <c r="G12">
        <v>1.5277777777777799</v>
      </c>
      <c r="H12">
        <v>1.6666666666666701</v>
      </c>
      <c r="I12">
        <v>1.3888888888888899</v>
      </c>
      <c r="J12">
        <v>0.83333333333333304</v>
      </c>
      <c r="K12">
        <v>1.1111111111111101</v>
      </c>
      <c r="L12">
        <v>1.3888888888888899</v>
      </c>
    </row>
    <row r="13" spans="1:12" x14ac:dyDescent="0.4">
      <c r="A13" t="s">
        <v>31</v>
      </c>
      <c r="B13">
        <v>1</v>
      </c>
      <c r="C13">
        <v>1</v>
      </c>
      <c r="D13">
        <v>7.0833333333333304</v>
      </c>
      <c r="E13">
        <v>3.0555555555555598</v>
      </c>
      <c r="F13">
        <v>1.80555555555556</v>
      </c>
      <c r="G13">
        <v>1.25</v>
      </c>
      <c r="H13" t="s">
        <v>67</v>
      </c>
      <c r="I13" t="s">
        <v>67</v>
      </c>
      <c r="J13" t="s">
        <v>67</v>
      </c>
      <c r="K13" t="s">
        <v>67</v>
      </c>
      <c r="L13" t="s">
        <v>67</v>
      </c>
    </row>
    <row r="14" spans="1:12" x14ac:dyDescent="0.4">
      <c r="A14" t="s">
        <v>32</v>
      </c>
      <c r="B14">
        <v>1</v>
      </c>
      <c r="C14">
        <v>11</v>
      </c>
      <c r="D14">
        <v>2.2222222222222201</v>
      </c>
      <c r="E14">
        <v>1.1111111111111101</v>
      </c>
      <c r="F14">
        <v>1.5277777777777799</v>
      </c>
      <c r="G14">
        <v>0.97222222222222199</v>
      </c>
      <c r="H14">
        <v>1.25</v>
      </c>
      <c r="I14">
        <v>0.13888888888888901</v>
      </c>
      <c r="J14">
        <v>1.1111111111111101</v>
      </c>
      <c r="K14">
        <v>0.83333333333333304</v>
      </c>
      <c r="L14">
        <v>0.69444444444444497</v>
      </c>
    </row>
    <row r="15" spans="1:12" x14ac:dyDescent="0.4">
      <c r="A15" t="s">
        <v>33</v>
      </c>
      <c r="B15">
        <v>0</v>
      </c>
      <c r="C15">
        <v>1</v>
      </c>
      <c r="D15">
        <v>4.3055555555555598</v>
      </c>
      <c r="E15">
        <v>4.5833333333333304</v>
      </c>
      <c r="F15">
        <v>5.6944444444444402</v>
      </c>
      <c r="G15">
        <v>5.9722222222222197</v>
      </c>
      <c r="H15">
        <v>4.5833333333333304</v>
      </c>
      <c r="I15">
        <v>3.8888888888888902</v>
      </c>
      <c r="J15">
        <v>5.9722222222222197</v>
      </c>
      <c r="K15">
        <v>6.25</v>
      </c>
      <c r="L15">
        <v>2.7777777777777799</v>
      </c>
    </row>
    <row r="20" spans="1:16" x14ac:dyDescent="0.4">
      <c r="A20">
        <v>4.3055555555555598</v>
      </c>
      <c r="B20">
        <v>3.8888888888888902</v>
      </c>
      <c r="D20">
        <f>AVERAGE(A20:A26)</f>
        <v>4.8809523809523752</v>
      </c>
      <c r="M20">
        <v>2.3611111111111098</v>
      </c>
      <c r="N20">
        <v>2.5</v>
      </c>
      <c r="P20">
        <f>AVERAGE(M20:M26)</f>
        <v>1.5476190476190477</v>
      </c>
    </row>
    <row r="21" spans="1:16" x14ac:dyDescent="0.4">
      <c r="A21">
        <v>3.1944444444444402</v>
      </c>
      <c r="B21">
        <v>1.5277777777777799</v>
      </c>
      <c r="D21">
        <f>STDEV(A20:A26)</f>
        <v>3.74264416710324</v>
      </c>
      <c r="M21">
        <v>0.41666666666666702</v>
      </c>
      <c r="N21">
        <v>1.1111111111111101</v>
      </c>
      <c r="P21">
        <f>STDEV(M20:M26)</f>
        <v>0.94685344805149618</v>
      </c>
    </row>
    <row r="22" spans="1:16" x14ac:dyDescent="0.4">
      <c r="A22">
        <v>13.1944444444444</v>
      </c>
      <c r="B22">
        <v>5</v>
      </c>
      <c r="D22">
        <f>AVERAGE(B20:B26)</f>
        <v>5.3769841269841319</v>
      </c>
      <c r="M22">
        <v>2.3611111111111098</v>
      </c>
      <c r="N22">
        <v>3.6111111111111098</v>
      </c>
      <c r="P22">
        <f>AVERAGE(N20:N23)</f>
        <v>1.9791666666666661</v>
      </c>
    </row>
    <row r="23" spans="1:16" x14ac:dyDescent="0.4">
      <c r="A23">
        <v>2.5</v>
      </c>
      <c r="B23">
        <v>10.4166666666667</v>
      </c>
      <c r="D23">
        <f>STDEV(B20:B26)</f>
        <v>3.1607668050652538</v>
      </c>
      <c r="M23">
        <v>0.69444444444444497</v>
      </c>
      <c r="N23">
        <v>0.69444444444444497</v>
      </c>
      <c r="P23">
        <f>STDEV(N20:N23)</f>
        <v>1.3339842161318431</v>
      </c>
    </row>
    <row r="24" spans="1:16" x14ac:dyDescent="0.4">
      <c r="A24">
        <v>2.6388888888888902</v>
      </c>
      <c r="B24">
        <v>7.5</v>
      </c>
      <c r="M24">
        <v>0.83333333333333304</v>
      </c>
    </row>
    <row r="25" spans="1:16" x14ac:dyDescent="0.4">
      <c r="A25">
        <v>4.0277777777777803</v>
      </c>
      <c r="B25">
        <v>7.0833333333333304</v>
      </c>
      <c r="M25">
        <v>1.3888888888888899</v>
      </c>
    </row>
    <row r="26" spans="1:16" x14ac:dyDescent="0.4">
      <c r="A26">
        <v>4.3055555555555598</v>
      </c>
      <c r="B26">
        <v>2.2222222222222201</v>
      </c>
      <c r="M26">
        <v>2.7777777777777799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1BDA-4431-4966-B02D-B6EC2DE378DB}">
  <dimension ref="A1:L15"/>
  <sheetViews>
    <sheetView workbookViewId="0">
      <selection activeCell="S13" sqref="S13"/>
    </sheetView>
  </sheetViews>
  <sheetFormatPr defaultRowHeight="14.6" x14ac:dyDescent="0.4"/>
  <sheetData>
    <row r="1" spans="1:12" x14ac:dyDescent="0.4">
      <c r="A1" t="s">
        <v>57</v>
      </c>
      <c r="B1" t="s">
        <v>68</v>
      </c>
      <c r="C1" t="s">
        <v>69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4">
      <c r="A2" t="s">
        <v>15</v>
      </c>
      <c r="B2">
        <v>1</v>
      </c>
      <c r="C2">
        <v>1</v>
      </c>
      <c r="D2">
        <v>0.26113596328112998</v>
      </c>
      <c r="E2">
        <v>0.26039072453893403</v>
      </c>
      <c r="F2">
        <v>0.25973607927127801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</row>
    <row r="3" spans="1:12" x14ac:dyDescent="0.4">
      <c r="A3" t="s">
        <v>17</v>
      </c>
      <c r="B3">
        <v>0</v>
      </c>
      <c r="C3">
        <v>1</v>
      </c>
      <c r="D3">
        <v>0.26346202649373401</v>
      </c>
      <c r="E3">
        <v>0.26440679966567399</v>
      </c>
      <c r="F3">
        <v>0.26487007685265701</v>
      </c>
      <c r="G3">
        <v>0.26651736296234102</v>
      </c>
      <c r="H3">
        <v>0.26877088485209899</v>
      </c>
      <c r="I3">
        <v>0.27184017441292702</v>
      </c>
      <c r="J3">
        <v>0.275664243687538</v>
      </c>
      <c r="K3">
        <v>0.27915480312804403</v>
      </c>
      <c r="L3">
        <v>0.28237151895137502</v>
      </c>
    </row>
    <row r="4" spans="1:12" x14ac:dyDescent="0.4">
      <c r="A4" t="s">
        <v>18</v>
      </c>
      <c r="B4">
        <v>1</v>
      </c>
      <c r="C4">
        <v>11</v>
      </c>
      <c r="D4">
        <v>0.17908669622159801</v>
      </c>
      <c r="E4">
        <v>0.233609765057361</v>
      </c>
      <c r="F4">
        <v>0.25435204333243</v>
      </c>
      <c r="G4">
        <v>0.25606813157696101</v>
      </c>
      <c r="H4">
        <v>0.25576537468752603</v>
      </c>
      <c r="I4">
        <v>0.26076076797665299</v>
      </c>
      <c r="J4">
        <v>0.25988953917373803</v>
      </c>
      <c r="K4">
        <v>0.26089160204306999</v>
      </c>
      <c r="L4">
        <v>0.25864173842588301</v>
      </c>
    </row>
    <row r="5" spans="1:12" x14ac:dyDescent="0.4">
      <c r="A5" t="s">
        <v>20</v>
      </c>
      <c r="B5">
        <v>0</v>
      </c>
      <c r="C5">
        <v>11</v>
      </c>
      <c r="D5">
        <v>0.25578629232192701</v>
      </c>
      <c r="E5">
        <v>0.257906811437288</v>
      </c>
      <c r="F5">
        <v>0.25931633189808101</v>
      </c>
      <c r="G5">
        <v>0.25969388684845002</v>
      </c>
      <c r="H5">
        <v>0.25894873580211603</v>
      </c>
      <c r="I5">
        <v>0.25780732728373601</v>
      </c>
      <c r="J5">
        <v>0.25670543920105199</v>
      </c>
      <c r="K5">
        <v>0.25528375457096403</v>
      </c>
      <c r="L5">
        <v>0.25381556391990401</v>
      </c>
    </row>
    <row r="6" spans="1:12" x14ac:dyDescent="0.4">
      <c r="A6" t="s">
        <v>21</v>
      </c>
      <c r="B6">
        <v>1</v>
      </c>
      <c r="C6">
        <v>1</v>
      </c>
      <c r="D6">
        <v>0.28089127432206701</v>
      </c>
      <c r="E6">
        <v>0.27906418787181198</v>
      </c>
      <c r="F6">
        <v>0.27727858053514898</v>
      </c>
      <c r="G6">
        <v>0.27555144918680002</v>
      </c>
      <c r="H6">
        <v>0.27387327948416101</v>
      </c>
      <c r="I6">
        <v>0.27215894262972001</v>
      </c>
      <c r="J6" t="s">
        <v>67</v>
      </c>
      <c r="K6" t="s">
        <v>67</v>
      </c>
      <c r="L6" t="s">
        <v>67</v>
      </c>
    </row>
    <row r="7" spans="1:12" x14ac:dyDescent="0.4">
      <c r="A7" t="s">
        <v>22</v>
      </c>
      <c r="B7">
        <v>0</v>
      </c>
      <c r="C7">
        <v>1</v>
      </c>
      <c r="D7">
        <v>0.26454689443548501</v>
      </c>
      <c r="E7">
        <v>0.26387743126036201</v>
      </c>
      <c r="F7">
        <v>0.26317354152371197</v>
      </c>
      <c r="G7">
        <v>0.26246755792145898</v>
      </c>
      <c r="H7">
        <v>0.26193539262244298</v>
      </c>
      <c r="I7">
        <v>0.26185829933407101</v>
      </c>
      <c r="J7">
        <v>0.26172726590359502</v>
      </c>
      <c r="K7">
        <v>0.261801841981191</v>
      </c>
      <c r="L7">
        <v>0.26171817858649499</v>
      </c>
    </row>
    <row r="8" spans="1:12" x14ac:dyDescent="0.4">
      <c r="A8" t="s">
        <v>23</v>
      </c>
      <c r="B8">
        <v>0</v>
      </c>
      <c r="C8">
        <v>11</v>
      </c>
      <c r="D8">
        <v>0.25319629604995703</v>
      </c>
      <c r="E8">
        <v>0.25298459799224898</v>
      </c>
      <c r="F8">
        <v>0.26514355898710001</v>
      </c>
      <c r="G8">
        <v>0.27766248795957399</v>
      </c>
      <c r="H8">
        <v>0.29500929312491198</v>
      </c>
      <c r="I8">
        <v>0.30336553867239402</v>
      </c>
      <c r="J8">
        <v>0.311193620465195</v>
      </c>
      <c r="K8">
        <v>0.32030334980111702</v>
      </c>
      <c r="L8">
        <v>0.327109375209852</v>
      </c>
    </row>
    <row r="9" spans="1:12" x14ac:dyDescent="0.4">
      <c r="A9" t="s">
        <v>24</v>
      </c>
      <c r="B9">
        <v>1</v>
      </c>
      <c r="C9">
        <v>11</v>
      </c>
      <c r="D9">
        <v>0.25595580700356602</v>
      </c>
      <c r="E9">
        <v>0.25474388826419597</v>
      </c>
      <c r="F9">
        <v>0.25352600607912501</v>
      </c>
      <c r="G9">
        <v>0.25394090231458399</v>
      </c>
      <c r="H9">
        <v>0.254780049552709</v>
      </c>
      <c r="I9">
        <v>0.25605578302306797</v>
      </c>
      <c r="J9">
        <v>0.25822300012688099</v>
      </c>
      <c r="K9">
        <v>0.26069633784137097</v>
      </c>
      <c r="L9">
        <v>0.26508129082618698</v>
      </c>
    </row>
    <row r="10" spans="1:12" x14ac:dyDescent="0.4">
      <c r="A10" t="s">
        <v>25</v>
      </c>
      <c r="B10">
        <v>1</v>
      </c>
      <c r="C10">
        <v>1</v>
      </c>
      <c r="D10">
        <v>0.25590693724685598</v>
      </c>
      <c r="E10">
        <v>0.25583239188474699</v>
      </c>
      <c r="F10">
        <v>0.25653673898275198</v>
      </c>
      <c r="G10">
        <v>0.25660162294811301</v>
      </c>
      <c r="H10">
        <v>0.257933429663531</v>
      </c>
      <c r="I10">
        <v>0.25949651023989601</v>
      </c>
      <c r="J10">
        <v>0.260679010304951</v>
      </c>
      <c r="K10">
        <v>0.26145753403502398</v>
      </c>
      <c r="L10">
        <v>0.26231682065115502</v>
      </c>
    </row>
    <row r="11" spans="1:12" x14ac:dyDescent="0.4">
      <c r="A11" t="s">
        <v>26</v>
      </c>
      <c r="B11">
        <v>0</v>
      </c>
      <c r="C11">
        <v>11</v>
      </c>
      <c r="D11">
        <v>0.24846340160876601</v>
      </c>
      <c r="E11">
        <v>0.24839462784333399</v>
      </c>
      <c r="F11">
        <v>0.248565354472436</v>
      </c>
      <c r="G11">
        <v>0.24890865061761999</v>
      </c>
      <c r="H11">
        <v>0.25040949504075899</v>
      </c>
      <c r="I11">
        <v>0.25216645768574802</v>
      </c>
      <c r="J11">
        <v>0.25376481557229202</v>
      </c>
      <c r="K11">
        <v>0.25549415833051597</v>
      </c>
      <c r="L11">
        <v>0.25715894395058703</v>
      </c>
    </row>
    <row r="12" spans="1:12" x14ac:dyDescent="0.4">
      <c r="A12" t="s">
        <v>30</v>
      </c>
      <c r="B12">
        <v>0</v>
      </c>
      <c r="C12">
        <v>1</v>
      </c>
      <c r="D12">
        <v>0.27107116711023599</v>
      </c>
      <c r="E12">
        <v>0.26977968734345498</v>
      </c>
      <c r="F12">
        <v>0.26881190028997298</v>
      </c>
      <c r="G12">
        <v>0.26803551593805303</v>
      </c>
      <c r="H12">
        <v>0.26724887946012899</v>
      </c>
      <c r="I12">
        <v>0.266695144347882</v>
      </c>
      <c r="J12">
        <v>0.26623932205575901</v>
      </c>
      <c r="K12">
        <v>0.26562738254729701</v>
      </c>
      <c r="L12">
        <v>0.26533158294020098</v>
      </c>
    </row>
    <row r="13" spans="1:12" x14ac:dyDescent="0.4">
      <c r="A13" t="s">
        <v>31</v>
      </c>
      <c r="B13">
        <v>1</v>
      </c>
      <c r="C13">
        <v>1</v>
      </c>
      <c r="D13">
        <v>0.25469623334435398</v>
      </c>
      <c r="E13">
        <v>0.25585089512350001</v>
      </c>
      <c r="F13">
        <v>0.256862835611253</v>
      </c>
      <c r="G13">
        <v>0.25722310727174902</v>
      </c>
      <c r="H13" t="s">
        <v>67</v>
      </c>
      <c r="I13" t="s">
        <v>67</v>
      </c>
      <c r="J13" t="s">
        <v>67</v>
      </c>
      <c r="K13" t="s">
        <v>67</v>
      </c>
      <c r="L13" t="s">
        <v>67</v>
      </c>
    </row>
    <row r="14" spans="1:12" x14ac:dyDescent="0.4">
      <c r="A14" t="s">
        <v>32</v>
      </c>
      <c r="B14">
        <v>1</v>
      </c>
      <c r="C14">
        <v>11</v>
      </c>
      <c r="D14">
        <v>0.31659794615702402</v>
      </c>
      <c r="E14">
        <v>0.30634668086369998</v>
      </c>
      <c r="F14">
        <v>0.297064711514053</v>
      </c>
      <c r="G14">
        <v>0.288225431866453</v>
      </c>
      <c r="H14">
        <v>0.28107345767407899</v>
      </c>
      <c r="I14">
        <v>0.273645116034336</v>
      </c>
      <c r="J14">
        <v>0.26688463749272601</v>
      </c>
      <c r="K14">
        <v>0.26030522579750798</v>
      </c>
      <c r="L14">
        <v>0.25403251027317902</v>
      </c>
    </row>
    <row r="15" spans="1:12" x14ac:dyDescent="0.4">
      <c r="A15" t="s">
        <v>33</v>
      </c>
      <c r="B15">
        <v>0</v>
      </c>
      <c r="C15">
        <v>1</v>
      </c>
      <c r="D15">
        <v>0.26231407166818499</v>
      </c>
      <c r="E15">
        <v>0.25995387228463401</v>
      </c>
      <c r="F15">
        <v>0.25792792986241098</v>
      </c>
      <c r="G15">
        <v>0.25654151965112998</v>
      </c>
      <c r="H15">
        <v>0.25509633008987997</v>
      </c>
      <c r="I15">
        <v>0.25322914204184599</v>
      </c>
      <c r="J15">
        <v>0.251682588062838</v>
      </c>
      <c r="K15">
        <v>0.25009544446189003</v>
      </c>
      <c r="L15">
        <v>0.24845322609961101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4DF-7EE9-474B-8102-F072599DE3FB}">
  <dimension ref="A1:M9"/>
  <sheetViews>
    <sheetView workbookViewId="0"/>
  </sheetViews>
  <sheetFormatPr defaultRowHeight="14.6" x14ac:dyDescent="0.4"/>
  <sheetData>
    <row r="1" spans="1:13" x14ac:dyDescent="0.4">
      <c r="A1" t="s">
        <v>39</v>
      </c>
      <c r="C1" t="s">
        <v>40</v>
      </c>
    </row>
    <row r="2" spans="1:13" x14ac:dyDescent="0.4">
      <c r="A2" t="s">
        <v>41</v>
      </c>
      <c r="B2" t="s">
        <v>42</v>
      </c>
      <c r="C2" t="s">
        <v>43</v>
      </c>
      <c r="D2" t="s">
        <v>44</v>
      </c>
      <c r="E2" t="s">
        <v>34</v>
      </c>
      <c r="F2" t="s">
        <v>36</v>
      </c>
      <c r="G2" t="s">
        <v>35</v>
      </c>
      <c r="H2" t="s">
        <v>37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 x14ac:dyDescent="0.4">
      <c r="A3">
        <v>0</v>
      </c>
      <c r="B3">
        <v>1</v>
      </c>
      <c r="C3">
        <f>AVERAGEIFS(Main!M2:M43,Main!B2:B43,"=0",Main!D2:D43,"=1")</f>
        <v>7727.8197278911557</v>
      </c>
      <c r="D3">
        <f>AVERAGEIFS(Main!O2:O43,Main!B2:B43,"=0",Main!D2:D43,"=1")</f>
        <v>622.05714285714294</v>
      </c>
      <c r="E3" s="6">
        <f>AVERAGEIFS(Main!Q2:Q43,Main!B2:B43,"=0",Main!D2:D43,"=1")</f>
        <v>187.85922333360227</v>
      </c>
      <c r="F3" s="6">
        <f>AVERAGEIFS(Main!R2:R43,Main!B2:B43,"=0",Main!D2:D43,"=1")</f>
        <v>220.08976970234735</v>
      </c>
      <c r="G3" s="6">
        <f>AVERAGEIFS(Main!S2:S43,Main!B2:B43,"=0",Main!D2:D43,"=1")</f>
        <v>210.27378599661213</v>
      </c>
      <c r="H3" s="6">
        <f>AVERAGEIFS(Main!T2:T43,Main!B2:B43,"=0",Main!D2:D43,"=1")</f>
        <v>363.49237382700124</v>
      </c>
      <c r="I3" s="6">
        <f>AVERAGEIFS(Main!Y2:Y43,Main!B2:B43,"=0",Main!D2:D43,"=1")</f>
        <v>418.92857142857144</v>
      </c>
      <c r="J3" s="6">
        <f>AVERAGEIFS(Main!Z2:Z43,Main!B2:B43,"=0",Main!D2:D43,"=1")</f>
        <v>28.428571428571427</v>
      </c>
      <c r="K3" s="6">
        <f>AVERAGEIFS(Main!U2:U43,Main!B2:B43,"=0",Main!D2:D43,"=1")</f>
        <v>103.57142857142857</v>
      </c>
      <c r="L3" s="6">
        <f>AVERAGEIFS(Main!V2:V43,Main!B2:B43,"=0",Main!D2:D43,"=1")</f>
        <v>10.571428571428571</v>
      </c>
      <c r="M3" s="6">
        <f>AVERAGEIFS(Main!X2:X43,Main!B2:B43,"=0",Main!D2:D43,"=1")</f>
        <v>1.6428571428571428</v>
      </c>
    </row>
    <row r="4" spans="1:13" x14ac:dyDescent="0.4">
      <c r="B4">
        <v>2</v>
      </c>
      <c r="C4">
        <f>AVERAGEIFS(Main!M2:M43,Main!B2:B43,"=0",Main!D2:D43,"=2")</f>
        <v>8932.6862244897948</v>
      </c>
      <c r="D4">
        <f>AVERAGEIFS(Main!O2:O43,Main!B2:B43,"=0",Main!D2:D43,"=2")</f>
        <v>664.0428571428572</v>
      </c>
      <c r="E4" s="6">
        <f>AVERAGEIFS(Main!Q2:Q43,Main!B2:B43,"=0",Main!D2:D43,"=2")</f>
        <v>187.40037912398162</v>
      </c>
      <c r="F4" s="6">
        <f>AVERAGEIFS(Main!R2:R43,Main!B2:B43,"=0",Main!D2:D43,"=2")</f>
        <v>239.79176749751286</v>
      </c>
      <c r="G4" s="6">
        <f>AVERAGEIFS(Main!S2:S43,Main!B2:B43,"=0",Main!D2:D43,"=2")</f>
        <v>37.794887539996303</v>
      </c>
      <c r="H4" s="6">
        <f>AVERAGEIFS(Main!T2:T43,Main!B2:B43,"=0",Main!D2:D43,"=2")</f>
        <v>74.974470638057667</v>
      </c>
      <c r="I4" s="6">
        <f>AVERAGEIFS(Main!Y2:Y43,Main!B2:B43,"=0",Main!D2:D43,"=2")</f>
        <v>439.28571428571428</v>
      </c>
      <c r="J4" s="6">
        <f>AVERAGEIFS(Main!Z2:Z43,Main!B2:B43,"=0",Main!D2:D43,"=2")</f>
        <v>29.142857142857142</v>
      </c>
      <c r="K4" s="6">
        <f>AVERAGEIFS(Main!U2:U43,Main!B2:B43,"=0",Main!D2:D43,"=2")</f>
        <v>104.14285714285714</v>
      </c>
      <c r="L4" s="6">
        <f>AVERAGEIFS(Main!V2:V43,Main!B2:B43,"=0",Main!D2:D43,"=2")</f>
        <v>10.857142857142858</v>
      </c>
      <c r="M4" s="6">
        <f>AVERAGEIFS(Main!X2:X43,Main!B2:B43,"=0",Main!D2:D43,"=2")</f>
        <v>1.7142857142857142</v>
      </c>
    </row>
    <row r="5" spans="1:13" x14ac:dyDescent="0.4">
      <c r="B5">
        <v>3</v>
      </c>
      <c r="C5">
        <f>AVERAGEIFS(Main!M2:M43,Main!B2:B43,"=0",Main!D2:D43,"=3")</f>
        <v>6209.091836734694</v>
      </c>
      <c r="D5">
        <f>AVERAGEIFS(Main!O2:O43,Main!B2:B43,"=0",Main!D2:D43,"=3")</f>
        <v>546.49999999999989</v>
      </c>
      <c r="E5" s="6">
        <f>AVERAGEIFS(Main!Q2:Q43,Main!B2:B43,"=0",Main!D2:D43,"=3")</f>
        <v>126.72639045736879</v>
      </c>
      <c r="F5" s="6">
        <f>AVERAGEIFS(Main!R2:R43,Main!B2:B43,"=0",Main!D2:D43,"=3")</f>
        <v>88.326401212659036</v>
      </c>
      <c r="G5" s="6">
        <f>AVERAGEIFS(Main!S2:S43,Main!B2:B43,"=0",Main!D2:D43,"=3")</f>
        <v>114.62180030114813</v>
      </c>
      <c r="H5" s="6">
        <f>AVERAGEIFS(Main!T2:T43,Main!B2:B43,"=0",Main!D2:D43,"=3")</f>
        <v>104.5952380952381</v>
      </c>
      <c r="I5" s="6">
        <f>AVERAGEIFS(Main!Y2:Y43,Main!B2:B43,"=0",Main!D2:D43,"=3")</f>
        <v>458.57142857142856</v>
      </c>
      <c r="J5" s="6">
        <f>AVERAGEIFS(Main!Z2:Z43,Main!B2:B43,"=0",Main!D2:D43,"=3")</f>
        <v>31.285714285714285</v>
      </c>
      <c r="K5" s="6">
        <f>AVERAGEIFS(Main!U2:U43,Main!B2:B43,"=0",Main!D2:D43,"=3")</f>
        <v>106</v>
      </c>
      <c r="L5" s="6">
        <f>AVERAGEIFS(Main!V2:V43,Main!B2:B43,"=0",Main!D2:D43,"=3")</f>
        <v>11.571428571428571</v>
      </c>
      <c r="M5" s="6">
        <f>AVERAGEIFS(Main!X2:X43,Main!B2:B43,"=0",Main!D2:D43,"=3")</f>
        <v>1.6785714285714286</v>
      </c>
    </row>
    <row r="6" spans="1:13" x14ac:dyDescent="0.4">
      <c r="E6" s="6"/>
      <c r="F6" s="6"/>
      <c r="G6" s="6"/>
      <c r="H6" s="6"/>
      <c r="I6" s="6"/>
      <c r="J6" s="6"/>
      <c r="K6" s="6"/>
      <c r="L6" s="6"/>
      <c r="M6" s="6"/>
    </row>
    <row r="7" spans="1:13" x14ac:dyDescent="0.4">
      <c r="A7">
        <v>1</v>
      </c>
      <c r="B7">
        <v>1</v>
      </c>
      <c r="C7">
        <f>AVERAGEIFS(Main!M2:M43,Main!B2:B43,"=1",Main!D2:D43,"=1")</f>
        <v>4993.6130952380945</v>
      </c>
      <c r="D7">
        <f>AVERAGEIFS(Main!O2:O43,Main!B2:B43,"=1",Main!D2:D43,"=1")</f>
        <v>447.41428571428571</v>
      </c>
      <c r="E7" s="6">
        <f>AVERAGEIFS(Main!Q5:Q46,Main!B5:B46,"=1",Main!D5:D46,"=1")</f>
        <v>44.402269982432948</v>
      </c>
      <c r="F7" s="6">
        <f>AVERAGEIFS(Main!R5:R46,Main!B5:B46,"=1",Main!D5:D46,"=1")</f>
        <v>433.54498047242606</v>
      </c>
      <c r="G7" s="6">
        <f>AVERAGEIFS(Main!S5:S46,Main!B5:B46,"=1",Main!D5:D46,"=1")</f>
        <v>195.25255270092222</v>
      </c>
      <c r="H7" s="6">
        <f>AVERAGEIFS(Main!T5:T46,Main!B5:B46,"=1",Main!D5:D46,"=1")</f>
        <v>145.42978700043918</v>
      </c>
      <c r="I7" s="6">
        <f>AVERAGEIFS(Main!Y5:Y46,Main!B5:B46,"=1",Main!D5:D46,"=1")</f>
        <v>415</v>
      </c>
      <c r="J7" s="6">
        <f>AVERAGEIFS(Main!Z5:Z46,Main!B5:B46,"=1",Main!D5:D46,"=1")</f>
        <v>26.5</v>
      </c>
      <c r="K7" s="6">
        <f>AVERAGEIFS(Main!U5:U46,Main!B5:B46,"=1",Main!D5:D46,"=1")</f>
        <v>102.33333333333333</v>
      </c>
      <c r="L7" s="6">
        <f>AVERAGEIFS(Main!V5:V46,Main!B5:B46,"=1",Main!D5:D46,"=1")</f>
        <v>11.166666666666666</v>
      </c>
      <c r="M7" s="6">
        <f>AVERAGEIFS(Main!X5:X46,Main!B5:B46,"=1",Main!D5:D46,"=1")</f>
        <v>1.8333333333333333</v>
      </c>
    </row>
    <row r="8" spans="1:13" x14ac:dyDescent="0.4">
      <c r="B8">
        <v>2</v>
      </c>
      <c r="C8">
        <f>AVERAGEIFS(Main!M2:M43,Main!B2:B43,"=1",Main!D2:D43,"=2")</f>
        <v>5108.4209183673465</v>
      </c>
      <c r="D8">
        <f>AVERAGEIFS(Main!O2:O43,Main!B2:B43,"=1",Main!D2:D43,"=2")</f>
        <v>455.90000000000003</v>
      </c>
      <c r="E8" s="6">
        <f>AVERAGEIFS(Main!Q5:Q46,Main!B5:B46,"=1",Main!D5:D46,"=2")</f>
        <v>19.986369241372454</v>
      </c>
      <c r="F8" s="6">
        <f>AVERAGEIFS(Main!R5:R46,Main!B5:B46,"=1",Main!D5:D46,"=2")</f>
        <v>165.37846371091254</v>
      </c>
      <c r="G8" s="6">
        <f>AVERAGEIFS(Main!S5:S46,Main!B5:B46,"=1",Main!D5:D46,"=2")</f>
        <v>43.737167874396107</v>
      </c>
      <c r="H8" s="6">
        <f>AVERAGEIFS(Main!T5:T46,Main!B5:B46,"=1",Main!D5:D46,"=2")</f>
        <v>12.541817632850249</v>
      </c>
      <c r="I8" s="6">
        <f>AVERAGEIFS(Main!Y5:Y46,Main!B5:B46,"=1",Main!D5:D46,"=2")</f>
        <v>450</v>
      </c>
      <c r="J8" s="6">
        <f>AVERAGEIFS(Main!Z5:Z46,Main!B5:B46,"=1",Main!D5:D46,"=2")</f>
        <v>27.5</v>
      </c>
      <c r="K8" s="6">
        <f>AVERAGEIFS(Main!U5:U46,Main!B5:B46,"=1",Main!D5:D46,"=2")</f>
        <v>104</v>
      </c>
      <c r="L8" s="6">
        <f>AVERAGEIFS(Main!V5:V46,Main!B5:B46,"=1",Main!D5:D46,"=2")</f>
        <v>10</v>
      </c>
      <c r="M8" s="6">
        <f>AVERAGEIFS(Main!X5:X46,Main!B5:B46,"=1",Main!D5:D46,"=2")</f>
        <v>1.9583333333333333</v>
      </c>
    </row>
    <row r="9" spans="1:13" x14ac:dyDescent="0.4">
      <c r="B9">
        <v>3</v>
      </c>
      <c r="C9">
        <f>AVERAGEIFS(Main!M2:M43,Main!B2:B43,"=1",Main!D2:D43,"=3")</f>
        <v>4854.7715419501128</v>
      </c>
      <c r="D9">
        <f>AVERAGEIFS(Main!O2:O43,Main!B2:B43,"=1",Main!D2:D43,"=3")</f>
        <v>490.40000000000003</v>
      </c>
      <c r="E9" s="6">
        <f>AVERAGEIFS(Main!Q5:Q46,Main!B5:B46,"=1",Main!D5:D46,"=3")</f>
        <v>-138.85729578392616</v>
      </c>
      <c r="F9" s="6">
        <f>AVERAGEIFS(Main!R5:R46,Main!B5:B46,"=1",Main!D5:D46,"=3")</f>
        <v>44.060144927536271</v>
      </c>
      <c r="G9" s="6">
        <f>AVERAGEIFS(Main!S5:S46,Main!B5:B46,"=1",Main!D5:D46,"=3")</f>
        <v>35.208072573561729</v>
      </c>
      <c r="H9" s="6">
        <f>AVERAGEIFS(Main!T5:T46,Main!B5:B46,"=1",Main!D5:D46,"=3")</f>
        <v>0.82099527887572776</v>
      </c>
      <c r="I9" s="6">
        <f>AVERAGEIFS(Main!Y5:Y46,Main!B5:B46,"=1",Main!D5:D46,"=3")</f>
        <v>433.75</v>
      </c>
      <c r="J9" s="6">
        <f>AVERAGEIFS(Main!Z5:Z46,Main!B5:B46,"=1",Main!D5:D46,"=3")</f>
        <v>28.666666666666668</v>
      </c>
      <c r="K9" s="6">
        <f>AVERAGEIFS(Main!U5:U46,Main!B5:B46,"=1",Main!D5:D46,"=3")</f>
        <v>102.66666666666667</v>
      </c>
      <c r="L9" s="6">
        <f>AVERAGEIFS(Main!V5:V46,Main!B5:B46,"=1",Main!D5:D46,"=3")</f>
        <v>9.5</v>
      </c>
      <c r="M9" s="6">
        <f>AVERAGEIFS(Main!X5:X46,Main!B5:B46,"=0",Main!D5:D46,"=3")</f>
        <v>1.6785714285714286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5260-0A8D-4B35-8F27-FC4155671839}">
  <dimension ref="A1:L6"/>
  <sheetViews>
    <sheetView workbookViewId="0">
      <selection sqref="A1:L6"/>
    </sheetView>
  </sheetViews>
  <sheetFormatPr defaultRowHeight="14.6" x14ac:dyDescent="0.4"/>
  <sheetData>
    <row r="1" spans="1:12" x14ac:dyDescent="0.4">
      <c r="B1" t="s">
        <v>45</v>
      </c>
    </row>
    <row r="2" spans="1:12" x14ac:dyDescent="0.4">
      <c r="A2" t="s">
        <v>41</v>
      </c>
      <c r="B2" t="s">
        <v>43</v>
      </c>
      <c r="C2" t="s">
        <v>44</v>
      </c>
      <c r="D2" t="s">
        <v>34</v>
      </c>
      <c r="E2" t="s">
        <v>36</v>
      </c>
      <c r="F2" t="s">
        <v>35</v>
      </c>
      <c r="G2" t="s">
        <v>37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4">
      <c r="A3">
        <v>0</v>
      </c>
      <c r="B3">
        <f>Sheet2!C4-Sheet2!C3</f>
        <v>1204.8664965986391</v>
      </c>
      <c r="C3">
        <f>Sheet2!D4-Sheet2!D3</f>
        <v>41.985714285714266</v>
      </c>
      <c r="D3">
        <f>Sheet2!E4-Sheet2!E3</f>
        <v>-0.45884420962065064</v>
      </c>
      <c r="E3">
        <f>Sheet2!F4-Sheet2!F3</f>
        <v>19.701997795165511</v>
      </c>
      <c r="F3">
        <f>Sheet2!G4-Sheet2!G3</f>
        <v>-172.47889845661584</v>
      </c>
      <c r="G3">
        <f>Sheet2!H4-Sheet2!H3</f>
        <v>-288.51790318894359</v>
      </c>
      <c r="H3">
        <f>Sheet2!I4-Sheet2!I3</f>
        <v>20.357142857142833</v>
      </c>
      <c r="I3">
        <f>Sheet2!J4-Sheet2!J3</f>
        <v>0.7142857142857153</v>
      </c>
      <c r="J3">
        <f>Sheet2!K4-Sheet2!K3</f>
        <v>0.5714285714285694</v>
      </c>
      <c r="K3">
        <f>Sheet2!L4-Sheet2!L3</f>
        <v>0.28571428571428648</v>
      </c>
      <c r="L3">
        <f>Sheet2!M4-Sheet2!M3</f>
        <v>7.1428571428571397E-2</v>
      </c>
    </row>
    <row r="4" spans="1:12" x14ac:dyDescent="0.4">
      <c r="A4">
        <v>1</v>
      </c>
      <c r="B4">
        <f>Sheet2!C8-Sheet2!C7</f>
        <v>114.80782312925203</v>
      </c>
      <c r="C4">
        <f>Sheet2!D8-Sheet2!D7</f>
        <v>8.4857142857143231</v>
      </c>
      <c r="D4">
        <f>Sheet2!E8-Sheet2!E7</f>
        <v>-24.415900741060494</v>
      </c>
      <c r="E4">
        <f>Sheet2!F8-Sheet2!F7</f>
        <v>-268.16651676151355</v>
      </c>
      <c r="F4">
        <f>Sheet2!G8-Sheet2!G7</f>
        <v>-151.51538482652612</v>
      </c>
      <c r="G4">
        <f>Sheet2!H8-Sheet2!H7</f>
        <v>-132.88796936758894</v>
      </c>
      <c r="H4">
        <f>Sheet2!I8-Sheet2!I7</f>
        <v>35</v>
      </c>
      <c r="I4">
        <f>Sheet2!J8-Sheet2!J7</f>
        <v>1</v>
      </c>
      <c r="J4">
        <f>Sheet2!K8-Sheet2!K7</f>
        <v>1.6666666666666714</v>
      </c>
      <c r="K4">
        <f>Sheet2!L8-Sheet2!L7</f>
        <v>-1.1666666666666661</v>
      </c>
      <c r="L4">
        <f>Sheet2!M8-Sheet2!M7</f>
        <v>0.125</v>
      </c>
    </row>
    <row r="6" spans="1:12" ht="102" x14ac:dyDescent="0.4"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E84945309DE448C30F0A1AC4AD602" ma:contentTypeVersion="6" ma:contentTypeDescription="Create a new document." ma:contentTypeScope="" ma:versionID="9e2d0e956c58e8f771f13131119ad52b">
  <xsd:schema xmlns:xsd="http://www.w3.org/2001/XMLSchema" xmlns:xs="http://www.w3.org/2001/XMLSchema" xmlns:p="http://schemas.microsoft.com/office/2006/metadata/properties" xmlns:ns3="734d12ae-bbc6-439f-a024-9311d449f037" targetNamespace="http://schemas.microsoft.com/office/2006/metadata/properties" ma:root="true" ma:fieldsID="eeb5048661f71b2fd1f7a916a0945885" ns3:_="">
    <xsd:import namespace="734d12ae-bbc6-439f-a024-9311d449f0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12ae-bbc6-439f-a024-9311d449f0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4d12ae-bbc6-439f-a024-9311d449f0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BC0B6-E91B-43ED-8F14-CCD70AD59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12ae-bbc6-439f-a024-9311d449f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8B6A2-570A-4BD1-9585-F2037454FE3E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734d12ae-bbc6-439f-a024-9311d449f03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706742-2D9D-4D98-B5F5-1E0DA8EBB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JOGGNGRT</vt:lpstr>
      <vt:lpstr>JOGGNGError</vt:lpstr>
      <vt:lpstr>JOGGNGSpeed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Kayne Park</dc:creator>
  <cp:keywords/>
  <dc:description/>
  <cp:lastModifiedBy>Kayne Park</cp:lastModifiedBy>
  <cp:revision/>
  <dcterms:created xsi:type="dcterms:W3CDTF">2024-10-29T19:58:11Z</dcterms:created>
  <dcterms:modified xsi:type="dcterms:W3CDTF">2026-04-09T14:59:06Z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0x0101001DDE84945309DE448C30F0A1AC4AD602</vt:lpwstr>
  </property>
</Properties>
</file>